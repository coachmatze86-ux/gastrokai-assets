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ner-Pe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 €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1A1A1A"/>
      <sz val="15"/>
    </font>
    <font>
      <i val="1"/>
      <color rgb="006B6458"/>
      <sz val="10"/>
    </font>
    <font>
      <b val="1"/>
      <color rgb="001A1A1A"/>
    </font>
    <font>
      <color rgb="006B6458"/>
      <sz val="10"/>
    </font>
    <font>
      <b val="1"/>
      <color rgb="00EDE8DF"/>
      <sz val="10"/>
    </font>
    <font>
      <b val="1"/>
    </font>
    <font>
      <b val="1"/>
      <color rgb="001F6B3A"/>
    </font>
    <font>
      <b val="1"/>
      <color rgb="00B5651D"/>
    </font>
    <font>
      <b val="1"/>
      <color rgb="009C7A12"/>
    </font>
    <font>
      <b val="1"/>
      <color rgb="00B0392F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8E6"/>
      </patternFill>
    </fill>
    <fill>
      <patternFill patternType="solid">
        <fgColor rgb="00C6EFCE"/>
      </patternFill>
    </fill>
    <fill>
      <patternFill patternType="solid">
        <fgColor rgb="00FCE4C8"/>
      </patternFill>
    </fill>
    <fill>
      <patternFill patternType="solid">
        <fgColor rgb="00FFF2CC"/>
      </patternFill>
    </fill>
    <fill>
      <patternFill patternType="solid">
        <fgColor rgb="00F8CBC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9" fontId="0" fillId="3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7" fillId="4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</cellXfs>
  <cellStyles count="1">
    <cellStyle name="Normal" xfId="0" builtinId="0" hidden="0"/>
  </cellStyles>
  <dxfs count="4">
    <dxf>
      <font>
        <b val="1"/>
        <color rgb="001F6B3A"/>
      </font>
      <fill>
        <patternFill patternType="solid">
          <fgColor rgb="00C6EFCE"/>
        </patternFill>
      </fill>
    </dxf>
    <dxf>
      <font>
        <b val="1"/>
        <color rgb="00B5651D"/>
      </font>
      <fill>
        <patternFill patternType="solid">
          <fgColor rgb="00FCE4C8"/>
        </patternFill>
      </fill>
    </dxf>
    <dxf>
      <font>
        <b val="1"/>
        <color rgb="009C7A12"/>
      </font>
      <fill>
        <patternFill patternType="solid">
          <fgColor rgb="00FFF2CC"/>
        </patternFill>
      </fill>
    </dxf>
    <dxf>
      <font>
        <b val="1"/>
        <color rgb="00B0392F"/>
      </font>
      <fill>
        <patternFill patternType="solid">
          <fgColor rgb="00F8CB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10" customWidth="1" min="5" max="5"/>
    <col width="13" customWidth="1" min="6" max="6"/>
    <col width="12" customWidth="1" min="7" max="7"/>
    <col width="13" customWidth="1" min="8" max="8"/>
    <col width="9" customWidth="1" min="9" max="9"/>
    <col width="14" customWidth="1" min="10" max="10"/>
  </cols>
  <sheetData>
    <row r="1">
      <c r="A1" s="1" t="inlineStr">
        <is>
          <t>Renner-Penner-Analyse · GastroKI-Vorlage</t>
        </is>
      </c>
    </row>
    <row r="2">
      <c r="A2" s="2" t="inlineStr">
        <is>
          <t>Trag deine Gerichte, Verkaufszahlen (D) und Wareneinsatz (F) ein — der Rest rechnet sich selbst. Von @gastrokai (Matthias Ebbinghaus, Restaurant Ercklentz).</t>
        </is>
      </c>
    </row>
    <row r="4">
      <c r="A4" s="3" t="inlineStr">
        <is>
          <t>Kennzahlen (automatisch)</t>
        </is>
      </c>
    </row>
    <row r="5">
      <c r="A5" s="4" t="inlineStr">
        <is>
          <t>Gesamt verkauft</t>
        </is>
      </c>
      <c r="B5" s="3">
        <f>SUM(D8:D133)</f>
        <v/>
      </c>
      <c r="D5" s="4" t="inlineStr">
        <is>
          <t>Schwelle Beliebtheit</t>
        </is>
      </c>
      <c r="E5" s="5">
        <f>IF(B6&gt;0,0.7/B6,0)</f>
        <v/>
      </c>
    </row>
    <row r="6">
      <c r="A6" s="4" t="inlineStr">
        <is>
          <t>Aktive Gerichte</t>
        </is>
      </c>
      <c r="B6" s="3">
        <f>COUNTIF(D8:D133,"&gt;0")</f>
        <v/>
      </c>
      <c r="D6" s="4" t="inlineStr">
        <is>
          <t>Ø Deckungsbeitrag</t>
        </is>
      </c>
      <c r="E6" s="6">
        <f>IFERROR(AVERAGEIF(D8:D133,"&gt;0",G8:G133),0)</f>
        <v/>
      </c>
    </row>
    <row r="7" ht="34" customHeight="1">
      <c r="A7" s="7" t="inlineStr">
        <is>
          <t>Nr</t>
        </is>
      </c>
      <c r="B7" s="7" t="inlineStr">
        <is>
          <t>Gericht</t>
        </is>
      </c>
      <c r="C7" s="7" t="inlineStr">
        <is>
          <t>Kategorie</t>
        </is>
      </c>
      <c r="D7" s="7" t="inlineStr">
        <is>
          <t>Verkauft
(6-12 Mon)</t>
        </is>
      </c>
      <c r="E7" s="7" t="inlineStr">
        <is>
          <t>Preis €</t>
        </is>
      </c>
      <c r="F7" s="7" t="inlineStr">
        <is>
          <t>Food-Cost %
(Richtwert)</t>
        </is>
      </c>
      <c r="G7" s="7" t="inlineStr">
        <is>
          <t>DB €/Stück</t>
        </is>
      </c>
      <c r="H7" s="7" t="inlineStr">
        <is>
          <t>DB gesamt €</t>
        </is>
      </c>
      <c r="I7" s="7" t="inlineStr">
        <is>
          <t>Mix %</t>
        </is>
      </c>
      <c r="J7" s="7" t="inlineStr">
        <is>
          <t>Klasse</t>
        </is>
      </c>
    </row>
    <row r="8">
      <c r="A8" s="8" t="n"/>
      <c r="B8" s="8" t="n"/>
      <c r="C8" s="8" t="n"/>
      <c r="D8" s="9" t="n"/>
      <c r="E8" s="10" t="n"/>
      <c r="F8" s="11" t="n"/>
      <c r="G8" s="10">
        <f>E8*(1-F8)</f>
        <v/>
      </c>
      <c r="H8" s="10">
        <f>IF(D8="","",G8*D8)</f>
        <v/>
      </c>
      <c r="I8" s="12">
        <f>IF($B$5&gt;0,IF(D8="","",D8/$B$5),"")</f>
        <v/>
      </c>
      <c r="J8" s="8">
        <f>IF(D8="","",IF(AND(I8&gt;=$E$5,G8&gt;=$E$6),"Renner",IF(AND(I8&gt;=$E$5,G8&lt;$E$6),"Arbeitspferd",IF(AND(I8&lt;$E$5,G8&gt;=$E$6),"Schläfer","Penner"))))</f>
        <v/>
      </c>
    </row>
    <row r="9">
      <c r="A9" s="8" t="n"/>
      <c r="B9" s="8" t="n"/>
      <c r="C9" s="8" t="n"/>
      <c r="D9" s="9" t="n"/>
      <c r="E9" s="10" t="n"/>
      <c r="F9" s="11" t="n"/>
      <c r="G9" s="10">
        <f>E9*(1-F9)</f>
        <v/>
      </c>
      <c r="H9" s="10">
        <f>IF(D9="","",G9*D9)</f>
        <v/>
      </c>
      <c r="I9" s="12">
        <f>IF($B$5&gt;0,IF(D9="","",D9/$B$5),"")</f>
        <v/>
      </c>
      <c r="J9" s="8">
        <f>IF(D9="","",IF(AND(I9&gt;=$E$5,G9&gt;=$E$6),"Renner",IF(AND(I9&gt;=$E$5,G9&lt;$E$6),"Arbeitspferd",IF(AND(I9&lt;$E$5,G9&gt;=$E$6),"Schläfer","Penner"))))</f>
        <v/>
      </c>
    </row>
    <row r="10">
      <c r="A10" s="8" t="n"/>
      <c r="B10" s="8" t="n"/>
      <c r="C10" s="8" t="n"/>
      <c r="D10" s="9" t="n"/>
      <c r="E10" s="10" t="n"/>
      <c r="F10" s="11" t="n"/>
      <c r="G10" s="10">
        <f>E10*(1-F10)</f>
        <v/>
      </c>
      <c r="H10" s="10">
        <f>IF(D10="","",G10*D10)</f>
        <v/>
      </c>
      <c r="I10" s="12">
        <f>IF($B$5&gt;0,IF(D10="","",D10/$B$5),"")</f>
        <v/>
      </c>
      <c r="J10" s="8">
        <f>IF(D10="","",IF(AND(I10&gt;=$E$5,G10&gt;=$E$6),"Renner",IF(AND(I10&gt;=$E$5,G10&lt;$E$6),"Arbeitspferd",IF(AND(I10&lt;$E$5,G10&gt;=$E$6),"Schläfer","Penner"))))</f>
        <v/>
      </c>
    </row>
    <row r="11">
      <c r="A11" s="8" t="n"/>
      <c r="B11" s="8" t="n"/>
      <c r="C11" s="8" t="n"/>
      <c r="D11" s="9" t="n"/>
      <c r="E11" s="10" t="n"/>
      <c r="F11" s="11" t="n"/>
      <c r="G11" s="10">
        <f>E11*(1-F11)</f>
        <v/>
      </c>
      <c r="H11" s="10">
        <f>IF(D11="","",G11*D11)</f>
        <v/>
      </c>
      <c r="I11" s="12">
        <f>IF($B$5&gt;0,IF(D11="","",D11/$B$5),"")</f>
        <v/>
      </c>
      <c r="J11" s="8">
        <f>IF(D11="","",IF(AND(I11&gt;=$E$5,G11&gt;=$E$6),"Renner",IF(AND(I11&gt;=$E$5,G11&lt;$E$6),"Arbeitspferd",IF(AND(I11&lt;$E$5,G11&gt;=$E$6),"Schläfer","Penner"))))</f>
        <v/>
      </c>
    </row>
    <row r="12">
      <c r="A12" s="8" t="n"/>
      <c r="B12" s="8" t="n"/>
      <c r="C12" s="8" t="n"/>
      <c r="D12" s="9" t="n"/>
      <c r="E12" s="10" t="n"/>
      <c r="F12" s="11" t="n"/>
      <c r="G12" s="10">
        <f>E12*(1-F12)</f>
        <v/>
      </c>
      <c r="H12" s="10">
        <f>IF(D12="","",G12*D12)</f>
        <v/>
      </c>
      <c r="I12" s="12">
        <f>IF($B$5&gt;0,IF(D12="","",D12/$B$5),"")</f>
        <v/>
      </c>
      <c r="J12" s="8">
        <f>IF(D12="","",IF(AND(I12&gt;=$E$5,G12&gt;=$E$6),"Renner",IF(AND(I12&gt;=$E$5,G12&lt;$E$6),"Arbeitspferd",IF(AND(I12&lt;$E$5,G12&gt;=$E$6),"Schläfer","Penner"))))</f>
        <v/>
      </c>
    </row>
    <row r="13">
      <c r="A13" s="8" t="n"/>
      <c r="B13" s="8" t="n"/>
      <c r="C13" s="8" t="n"/>
      <c r="D13" s="9" t="n"/>
      <c r="E13" s="10" t="n"/>
      <c r="F13" s="11" t="n"/>
      <c r="G13" s="10">
        <f>E13*(1-F13)</f>
        <v/>
      </c>
      <c r="H13" s="10">
        <f>IF(D13="","",G13*D13)</f>
        <v/>
      </c>
      <c r="I13" s="12">
        <f>IF($B$5&gt;0,IF(D13="","",D13/$B$5),"")</f>
        <v/>
      </c>
      <c r="J13" s="8">
        <f>IF(D13="","",IF(AND(I13&gt;=$E$5,G13&gt;=$E$6),"Renner",IF(AND(I13&gt;=$E$5,G13&lt;$E$6),"Arbeitspferd",IF(AND(I13&lt;$E$5,G13&gt;=$E$6),"Schläfer","Penner"))))</f>
        <v/>
      </c>
    </row>
    <row r="14">
      <c r="A14" s="8" t="n"/>
      <c r="B14" s="8" t="n"/>
      <c r="C14" s="8" t="n"/>
      <c r="D14" s="9" t="n"/>
      <c r="E14" s="10" t="n"/>
      <c r="F14" s="11" t="n"/>
      <c r="G14" s="10">
        <f>E14*(1-F14)</f>
        <v/>
      </c>
      <c r="H14" s="10">
        <f>IF(D14="","",G14*D14)</f>
        <v/>
      </c>
      <c r="I14" s="12">
        <f>IF($B$5&gt;0,IF(D14="","",D14/$B$5),"")</f>
        <v/>
      </c>
      <c r="J14" s="8">
        <f>IF(D14="","",IF(AND(I14&gt;=$E$5,G14&gt;=$E$6),"Renner",IF(AND(I14&gt;=$E$5,G14&lt;$E$6),"Arbeitspferd",IF(AND(I14&lt;$E$5,G14&gt;=$E$6),"Schläfer","Penner"))))</f>
        <v/>
      </c>
    </row>
    <row r="15">
      <c r="A15" s="8" t="n"/>
      <c r="B15" s="8" t="n"/>
      <c r="C15" s="8" t="n"/>
      <c r="D15" s="9" t="n"/>
      <c r="E15" s="10" t="n"/>
      <c r="F15" s="11" t="n"/>
      <c r="G15" s="10">
        <f>E15*(1-F15)</f>
        <v/>
      </c>
      <c r="H15" s="10">
        <f>IF(D15="","",G15*D15)</f>
        <v/>
      </c>
      <c r="I15" s="12">
        <f>IF($B$5&gt;0,IF(D15="","",D15/$B$5),"")</f>
        <v/>
      </c>
      <c r="J15" s="8">
        <f>IF(D15="","",IF(AND(I15&gt;=$E$5,G15&gt;=$E$6),"Renner",IF(AND(I15&gt;=$E$5,G15&lt;$E$6),"Arbeitspferd",IF(AND(I15&lt;$E$5,G15&gt;=$E$6),"Schläfer","Penner"))))</f>
        <v/>
      </c>
    </row>
    <row r="16">
      <c r="A16" s="8" t="n"/>
      <c r="B16" s="8" t="n"/>
      <c r="C16" s="8" t="n"/>
      <c r="D16" s="9" t="n"/>
      <c r="E16" s="10" t="n"/>
      <c r="F16" s="11" t="n"/>
      <c r="G16" s="10">
        <f>E16*(1-F16)</f>
        <v/>
      </c>
      <c r="H16" s="10">
        <f>IF(D16="","",G16*D16)</f>
        <v/>
      </c>
      <c r="I16" s="12">
        <f>IF($B$5&gt;0,IF(D16="","",D16/$B$5),"")</f>
        <v/>
      </c>
      <c r="J16" s="8">
        <f>IF(D16="","",IF(AND(I16&gt;=$E$5,G16&gt;=$E$6),"Renner",IF(AND(I16&gt;=$E$5,G16&lt;$E$6),"Arbeitspferd",IF(AND(I16&lt;$E$5,G16&gt;=$E$6),"Schläfer","Penner"))))</f>
        <v/>
      </c>
    </row>
    <row r="17">
      <c r="A17" s="8" t="n"/>
      <c r="B17" s="8" t="n"/>
      <c r="C17" s="8" t="n"/>
      <c r="D17" s="9" t="n"/>
      <c r="E17" s="10" t="n"/>
      <c r="F17" s="11" t="n"/>
      <c r="G17" s="10">
        <f>E17*(1-F17)</f>
        <v/>
      </c>
      <c r="H17" s="10">
        <f>IF(D17="","",G17*D17)</f>
        <v/>
      </c>
      <c r="I17" s="12">
        <f>IF($B$5&gt;0,IF(D17="","",D17/$B$5),"")</f>
        <v/>
      </c>
      <c r="J17" s="8">
        <f>IF(D17="","",IF(AND(I17&gt;=$E$5,G17&gt;=$E$6),"Renner",IF(AND(I17&gt;=$E$5,G17&lt;$E$6),"Arbeitspferd",IF(AND(I17&lt;$E$5,G17&gt;=$E$6),"Schläfer","Penner"))))</f>
        <v/>
      </c>
    </row>
    <row r="18">
      <c r="A18" s="8" t="n"/>
      <c r="B18" s="8" t="n"/>
      <c r="C18" s="8" t="n"/>
      <c r="D18" s="9" t="n"/>
      <c r="E18" s="10" t="n"/>
      <c r="F18" s="11" t="n"/>
      <c r="G18" s="10">
        <f>E18*(1-F18)</f>
        <v/>
      </c>
      <c r="H18" s="10">
        <f>IF(D18="","",G18*D18)</f>
        <v/>
      </c>
      <c r="I18" s="12">
        <f>IF($B$5&gt;0,IF(D18="","",D18/$B$5),"")</f>
        <v/>
      </c>
      <c r="J18" s="8">
        <f>IF(D18="","",IF(AND(I18&gt;=$E$5,G18&gt;=$E$6),"Renner",IF(AND(I18&gt;=$E$5,G18&lt;$E$6),"Arbeitspferd",IF(AND(I18&lt;$E$5,G18&gt;=$E$6),"Schläfer","Penner"))))</f>
        <v/>
      </c>
    </row>
    <row r="19">
      <c r="A19" s="8" t="n"/>
      <c r="B19" s="8" t="n"/>
      <c r="C19" s="8" t="n"/>
      <c r="D19" s="9" t="n"/>
      <c r="E19" s="10" t="n"/>
      <c r="F19" s="11" t="n"/>
      <c r="G19" s="10">
        <f>E19*(1-F19)</f>
        <v/>
      </c>
      <c r="H19" s="10">
        <f>IF(D19="","",G19*D19)</f>
        <v/>
      </c>
      <c r="I19" s="12">
        <f>IF($B$5&gt;0,IF(D19="","",D19/$B$5),"")</f>
        <v/>
      </c>
      <c r="J19" s="8">
        <f>IF(D19="","",IF(AND(I19&gt;=$E$5,G19&gt;=$E$6),"Renner",IF(AND(I19&gt;=$E$5,G19&lt;$E$6),"Arbeitspferd",IF(AND(I19&lt;$E$5,G19&gt;=$E$6),"Schläfer","Penner"))))</f>
        <v/>
      </c>
    </row>
    <row r="20">
      <c r="A20" s="8" t="n"/>
      <c r="B20" s="8" t="n"/>
      <c r="C20" s="8" t="n"/>
      <c r="D20" s="9" t="n"/>
      <c r="E20" s="10" t="n"/>
      <c r="F20" s="11" t="n"/>
      <c r="G20" s="10">
        <f>E20*(1-F20)</f>
        <v/>
      </c>
      <c r="H20" s="10">
        <f>IF(D20="","",G20*D20)</f>
        <v/>
      </c>
      <c r="I20" s="12">
        <f>IF($B$5&gt;0,IF(D20="","",D20/$B$5),"")</f>
        <v/>
      </c>
      <c r="J20" s="8">
        <f>IF(D20="","",IF(AND(I20&gt;=$E$5,G20&gt;=$E$6),"Renner",IF(AND(I20&gt;=$E$5,G20&lt;$E$6),"Arbeitspferd",IF(AND(I20&lt;$E$5,G20&gt;=$E$6),"Schläfer","Penner"))))</f>
        <v/>
      </c>
    </row>
    <row r="21">
      <c r="A21" s="8" t="n"/>
      <c r="B21" s="8" t="n"/>
      <c r="C21" s="8" t="n"/>
      <c r="D21" s="9" t="n"/>
      <c r="E21" s="10" t="n"/>
      <c r="F21" s="11" t="n"/>
      <c r="G21" s="10">
        <f>E21*(1-F21)</f>
        <v/>
      </c>
      <c r="H21" s="10">
        <f>IF(D21="","",G21*D21)</f>
        <v/>
      </c>
      <c r="I21" s="12">
        <f>IF($B$5&gt;0,IF(D21="","",D21/$B$5),"")</f>
        <v/>
      </c>
      <c r="J21" s="8">
        <f>IF(D21="","",IF(AND(I21&gt;=$E$5,G21&gt;=$E$6),"Renner",IF(AND(I21&gt;=$E$5,G21&lt;$E$6),"Arbeitspferd",IF(AND(I21&lt;$E$5,G21&gt;=$E$6),"Schläfer","Penner"))))</f>
        <v/>
      </c>
    </row>
    <row r="22">
      <c r="A22" s="8" t="n"/>
      <c r="B22" s="8" t="n"/>
      <c r="C22" s="8" t="n"/>
      <c r="D22" s="9" t="n"/>
      <c r="E22" s="10" t="n"/>
      <c r="F22" s="11" t="n"/>
      <c r="G22" s="10">
        <f>E22*(1-F22)</f>
        <v/>
      </c>
      <c r="H22" s="10">
        <f>IF(D22="","",G22*D22)</f>
        <v/>
      </c>
      <c r="I22" s="12">
        <f>IF($B$5&gt;0,IF(D22="","",D22/$B$5),"")</f>
        <v/>
      </c>
      <c r="J22" s="8">
        <f>IF(D22="","",IF(AND(I22&gt;=$E$5,G22&gt;=$E$6),"Renner",IF(AND(I22&gt;=$E$5,G22&lt;$E$6),"Arbeitspferd",IF(AND(I22&lt;$E$5,G22&gt;=$E$6),"Schläfer","Penner"))))</f>
        <v/>
      </c>
    </row>
    <row r="23">
      <c r="A23" s="8" t="n"/>
      <c r="B23" s="8" t="n"/>
      <c r="C23" s="8" t="n"/>
      <c r="D23" s="9" t="n"/>
      <c r="E23" s="10" t="n"/>
      <c r="F23" s="11" t="n"/>
      <c r="G23" s="10">
        <f>E23*(1-F23)</f>
        <v/>
      </c>
      <c r="H23" s="10">
        <f>IF(D23="","",G23*D23)</f>
        <v/>
      </c>
      <c r="I23" s="12">
        <f>IF($B$5&gt;0,IF(D23="","",D23/$B$5),"")</f>
        <v/>
      </c>
      <c r="J23" s="8">
        <f>IF(D23="","",IF(AND(I23&gt;=$E$5,G23&gt;=$E$6),"Renner",IF(AND(I23&gt;=$E$5,G23&lt;$E$6),"Arbeitspferd",IF(AND(I23&lt;$E$5,G23&gt;=$E$6),"Schläfer","Penner"))))</f>
        <v/>
      </c>
    </row>
    <row r="24">
      <c r="A24" s="8" t="n"/>
      <c r="B24" s="8" t="n"/>
      <c r="C24" s="8" t="n"/>
      <c r="D24" s="9" t="n"/>
      <c r="E24" s="10" t="n"/>
      <c r="F24" s="11" t="n"/>
      <c r="G24" s="10">
        <f>E24*(1-F24)</f>
        <v/>
      </c>
      <c r="H24" s="10">
        <f>IF(D24="","",G24*D24)</f>
        <v/>
      </c>
      <c r="I24" s="12">
        <f>IF($B$5&gt;0,IF(D24="","",D24/$B$5),"")</f>
        <v/>
      </c>
      <c r="J24" s="8">
        <f>IF(D24="","",IF(AND(I24&gt;=$E$5,G24&gt;=$E$6),"Renner",IF(AND(I24&gt;=$E$5,G24&lt;$E$6),"Arbeitspferd",IF(AND(I24&lt;$E$5,G24&gt;=$E$6),"Schläfer","Penner"))))</f>
        <v/>
      </c>
    </row>
    <row r="25">
      <c r="A25" s="8" t="n"/>
      <c r="B25" s="8" t="n"/>
      <c r="C25" s="8" t="n"/>
      <c r="D25" s="9" t="n"/>
      <c r="E25" s="10" t="n"/>
      <c r="F25" s="11" t="n"/>
      <c r="G25" s="10">
        <f>E25*(1-F25)</f>
        <v/>
      </c>
      <c r="H25" s="10">
        <f>IF(D25="","",G25*D25)</f>
        <v/>
      </c>
      <c r="I25" s="12">
        <f>IF($B$5&gt;0,IF(D25="","",D25/$B$5),"")</f>
        <v/>
      </c>
      <c r="J25" s="8">
        <f>IF(D25="","",IF(AND(I25&gt;=$E$5,G25&gt;=$E$6),"Renner",IF(AND(I25&gt;=$E$5,G25&lt;$E$6),"Arbeitspferd",IF(AND(I25&lt;$E$5,G25&gt;=$E$6),"Schläfer","Penner"))))</f>
        <v/>
      </c>
    </row>
    <row r="26">
      <c r="A26" s="8" t="n"/>
      <c r="B26" s="8" t="n"/>
      <c r="C26" s="8" t="n"/>
      <c r="D26" s="9" t="n"/>
      <c r="E26" s="10" t="n"/>
      <c r="F26" s="11" t="n"/>
      <c r="G26" s="10">
        <f>E26*(1-F26)</f>
        <v/>
      </c>
      <c r="H26" s="10">
        <f>IF(D26="","",G26*D26)</f>
        <v/>
      </c>
      <c r="I26" s="12">
        <f>IF($B$5&gt;0,IF(D26="","",D26/$B$5),"")</f>
        <v/>
      </c>
      <c r="J26" s="8">
        <f>IF(D26="","",IF(AND(I26&gt;=$E$5,G26&gt;=$E$6),"Renner",IF(AND(I26&gt;=$E$5,G26&lt;$E$6),"Arbeitspferd",IF(AND(I26&lt;$E$5,G26&gt;=$E$6),"Schläfer","Penner"))))</f>
        <v/>
      </c>
    </row>
    <row r="27">
      <c r="A27" s="8" t="n"/>
      <c r="B27" s="8" t="n"/>
      <c r="C27" s="8" t="n"/>
      <c r="D27" s="9" t="n"/>
      <c r="E27" s="10" t="n"/>
      <c r="F27" s="11" t="n"/>
      <c r="G27" s="10">
        <f>E27*(1-F27)</f>
        <v/>
      </c>
      <c r="H27" s="10">
        <f>IF(D27="","",G27*D27)</f>
        <v/>
      </c>
      <c r="I27" s="12">
        <f>IF($B$5&gt;0,IF(D27="","",D27/$B$5),"")</f>
        <v/>
      </c>
      <c r="J27" s="8">
        <f>IF(D27="","",IF(AND(I27&gt;=$E$5,G27&gt;=$E$6),"Renner",IF(AND(I27&gt;=$E$5,G27&lt;$E$6),"Arbeitspferd",IF(AND(I27&lt;$E$5,G27&gt;=$E$6),"Schläfer","Penner"))))</f>
        <v/>
      </c>
    </row>
    <row r="28">
      <c r="A28" s="8" t="n"/>
      <c r="B28" s="8" t="n"/>
      <c r="C28" s="8" t="n"/>
      <c r="D28" s="9" t="n"/>
      <c r="E28" s="10" t="n"/>
      <c r="F28" s="11" t="n"/>
      <c r="G28" s="10">
        <f>E28*(1-F28)</f>
        <v/>
      </c>
      <c r="H28" s="10">
        <f>IF(D28="","",G28*D28)</f>
        <v/>
      </c>
      <c r="I28" s="12">
        <f>IF($B$5&gt;0,IF(D28="","",D28/$B$5),"")</f>
        <v/>
      </c>
      <c r="J28" s="8">
        <f>IF(D28="","",IF(AND(I28&gt;=$E$5,G28&gt;=$E$6),"Renner",IF(AND(I28&gt;=$E$5,G28&lt;$E$6),"Arbeitspferd",IF(AND(I28&lt;$E$5,G28&gt;=$E$6),"Schläfer","Penner"))))</f>
        <v/>
      </c>
    </row>
    <row r="29">
      <c r="A29" s="8" t="n"/>
      <c r="B29" s="8" t="n"/>
      <c r="C29" s="8" t="n"/>
      <c r="D29" s="9" t="n"/>
      <c r="E29" s="10" t="n"/>
      <c r="F29" s="11" t="n"/>
      <c r="G29" s="10">
        <f>E29*(1-F29)</f>
        <v/>
      </c>
      <c r="H29" s="10">
        <f>IF(D29="","",G29*D29)</f>
        <v/>
      </c>
      <c r="I29" s="12">
        <f>IF($B$5&gt;0,IF(D29="","",D29/$B$5),"")</f>
        <v/>
      </c>
      <c r="J29" s="8">
        <f>IF(D29="","",IF(AND(I29&gt;=$E$5,G29&gt;=$E$6),"Renner",IF(AND(I29&gt;=$E$5,G29&lt;$E$6),"Arbeitspferd",IF(AND(I29&lt;$E$5,G29&gt;=$E$6),"Schläfer","Penner"))))</f>
        <v/>
      </c>
    </row>
    <row r="30">
      <c r="A30" s="8" t="n"/>
      <c r="B30" s="8" t="n"/>
      <c r="C30" s="8" t="n"/>
      <c r="D30" s="9" t="n"/>
      <c r="E30" s="10" t="n"/>
      <c r="F30" s="11" t="n"/>
      <c r="G30" s="10">
        <f>E30*(1-F30)</f>
        <v/>
      </c>
      <c r="H30" s="10">
        <f>IF(D30="","",G30*D30)</f>
        <v/>
      </c>
      <c r="I30" s="12">
        <f>IF($B$5&gt;0,IF(D30="","",D30/$B$5),"")</f>
        <v/>
      </c>
      <c r="J30" s="8">
        <f>IF(D30="","",IF(AND(I30&gt;=$E$5,G30&gt;=$E$6),"Renner",IF(AND(I30&gt;=$E$5,G30&lt;$E$6),"Arbeitspferd",IF(AND(I30&lt;$E$5,G30&gt;=$E$6),"Schläfer","Penner"))))</f>
        <v/>
      </c>
    </row>
    <row r="31">
      <c r="A31" s="8" t="n"/>
      <c r="B31" s="8" t="n"/>
      <c r="C31" s="8" t="n"/>
      <c r="D31" s="9" t="n"/>
      <c r="E31" s="10" t="n"/>
      <c r="F31" s="11" t="n"/>
      <c r="G31" s="10">
        <f>E31*(1-F31)</f>
        <v/>
      </c>
      <c r="H31" s="10">
        <f>IF(D31="","",G31*D31)</f>
        <v/>
      </c>
      <c r="I31" s="12">
        <f>IF($B$5&gt;0,IF(D31="","",D31/$B$5),"")</f>
        <v/>
      </c>
      <c r="J31" s="8">
        <f>IF(D31="","",IF(AND(I31&gt;=$E$5,G31&gt;=$E$6),"Renner",IF(AND(I31&gt;=$E$5,G31&lt;$E$6),"Arbeitspferd",IF(AND(I31&lt;$E$5,G31&gt;=$E$6),"Schläfer","Penner"))))</f>
        <v/>
      </c>
    </row>
    <row r="32">
      <c r="A32" s="8" t="n"/>
      <c r="B32" s="8" t="n"/>
      <c r="C32" s="8" t="n"/>
      <c r="D32" s="9" t="n"/>
      <c r="E32" s="10" t="n"/>
      <c r="F32" s="11" t="n"/>
      <c r="G32" s="10">
        <f>E32*(1-F32)</f>
        <v/>
      </c>
      <c r="H32" s="10">
        <f>IF(D32="","",G32*D32)</f>
        <v/>
      </c>
      <c r="I32" s="12">
        <f>IF($B$5&gt;0,IF(D32="","",D32/$B$5),"")</f>
        <v/>
      </c>
      <c r="J32" s="8">
        <f>IF(D32="","",IF(AND(I32&gt;=$E$5,G32&gt;=$E$6),"Renner",IF(AND(I32&gt;=$E$5,G32&lt;$E$6),"Arbeitspferd",IF(AND(I32&lt;$E$5,G32&gt;=$E$6),"Schläfer","Penner"))))</f>
        <v/>
      </c>
    </row>
    <row r="33">
      <c r="A33" s="8" t="n"/>
      <c r="B33" s="8" t="n"/>
      <c r="C33" s="8" t="n"/>
      <c r="D33" s="9" t="n"/>
      <c r="E33" s="10" t="n"/>
      <c r="F33" s="11" t="n"/>
      <c r="G33" s="10">
        <f>E33*(1-F33)</f>
        <v/>
      </c>
      <c r="H33" s="10">
        <f>IF(D33="","",G33*D33)</f>
        <v/>
      </c>
      <c r="I33" s="12">
        <f>IF($B$5&gt;0,IF(D33="","",D33/$B$5),"")</f>
        <v/>
      </c>
      <c r="J33" s="8">
        <f>IF(D33="","",IF(AND(I33&gt;=$E$5,G33&gt;=$E$6),"Renner",IF(AND(I33&gt;=$E$5,G33&lt;$E$6),"Arbeitspferd",IF(AND(I33&lt;$E$5,G33&gt;=$E$6),"Schläfer","Penner"))))</f>
        <v/>
      </c>
    </row>
    <row r="34">
      <c r="A34" s="8" t="n"/>
      <c r="B34" s="8" t="n"/>
      <c r="C34" s="8" t="n"/>
      <c r="D34" s="9" t="n"/>
      <c r="E34" s="10" t="n"/>
      <c r="F34" s="11" t="n"/>
      <c r="G34" s="10">
        <f>E34*(1-F34)</f>
        <v/>
      </c>
      <c r="H34" s="10">
        <f>IF(D34="","",G34*D34)</f>
        <v/>
      </c>
      <c r="I34" s="12">
        <f>IF($B$5&gt;0,IF(D34="","",D34/$B$5),"")</f>
        <v/>
      </c>
      <c r="J34" s="8">
        <f>IF(D34="","",IF(AND(I34&gt;=$E$5,G34&gt;=$E$6),"Renner",IF(AND(I34&gt;=$E$5,G34&lt;$E$6),"Arbeitspferd",IF(AND(I34&lt;$E$5,G34&gt;=$E$6),"Schläfer","Penner"))))</f>
        <v/>
      </c>
    </row>
    <row r="35">
      <c r="A35" s="8" t="n"/>
      <c r="B35" s="8" t="n"/>
      <c r="C35" s="8" t="n"/>
      <c r="D35" s="9" t="n"/>
      <c r="E35" s="10" t="n"/>
      <c r="F35" s="11" t="n"/>
      <c r="G35" s="10">
        <f>E35*(1-F35)</f>
        <v/>
      </c>
      <c r="H35" s="10">
        <f>IF(D35="","",G35*D35)</f>
        <v/>
      </c>
      <c r="I35" s="12">
        <f>IF($B$5&gt;0,IF(D35="","",D35/$B$5),"")</f>
        <v/>
      </c>
      <c r="J35" s="8">
        <f>IF(D35="","",IF(AND(I35&gt;=$E$5,G35&gt;=$E$6),"Renner",IF(AND(I35&gt;=$E$5,G35&lt;$E$6),"Arbeitspferd",IF(AND(I35&lt;$E$5,G35&gt;=$E$6),"Schläfer","Penner"))))</f>
        <v/>
      </c>
    </row>
    <row r="36">
      <c r="A36" s="8" t="n"/>
      <c r="B36" s="8" t="n"/>
      <c r="C36" s="8" t="n"/>
      <c r="D36" s="9" t="n"/>
      <c r="E36" s="10" t="n"/>
      <c r="F36" s="11" t="n"/>
      <c r="G36" s="10">
        <f>E36*(1-F36)</f>
        <v/>
      </c>
      <c r="H36" s="10">
        <f>IF(D36="","",G36*D36)</f>
        <v/>
      </c>
      <c r="I36" s="12">
        <f>IF($B$5&gt;0,IF(D36="","",D36/$B$5),"")</f>
        <v/>
      </c>
      <c r="J36" s="8">
        <f>IF(D36="","",IF(AND(I36&gt;=$E$5,G36&gt;=$E$6),"Renner",IF(AND(I36&gt;=$E$5,G36&lt;$E$6),"Arbeitspferd",IF(AND(I36&lt;$E$5,G36&gt;=$E$6),"Schläfer","Penner"))))</f>
        <v/>
      </c>
    </row>
    <row r="37">
      <c r="A37" s="8" t="n"/>
      <c r="B37" s="8" t="n"/>
      <c r="C37" s="8" t="n"/>
      <c r="D37" s="9" t="n"/>
      <c r="E37" s="10" t="n"/>
      <c r="F37" s="11" t="n"/>
      <c r="G37" s="10">
        <f>E37*(1-F37)</f>
        <v/>
      </c>
      <c r="H37" s="10">
        <f>IF(D37="","",G37*D37)</f>
        <v/>
      </c>
      <c r="I37" s="12">
        <f>IF($B$5&gt;0,IF(D37="","",D37/$B$5),"")</f>
        <v/>
      </c>
      <c r="J37" s="8">
        <f>IF(D37="","",IF(AND(I37&gt;=$E$5,G37&gt;=$E$6),"Renner",IF(AND(I37&gt;=$E$5,G37&lt;$E$6),"Arbeitspferd",IF(AND(I37&lt;$E$5,G37&gt;=$E$6),"Schläfer","Penner"))))</f>
        <v/>
      </c>
    </row>
    <row r="38">
      <c r="A38" s="8" t="n"/>
      <c r="B38" s="8" t="n"/>
      <c r="C38" s="8" t="n"/>
      <c r="D38" s="9" t="n"/>
      <c r="E38" s="10" t="n"/>
      <c r="F38" s="11" t="n"/>
      <c r="G38" s="10">
        <f>E38*(1-F38)</f>
        <v/>
      </c>
      <c r="H38" s="10">
        <f>IF(D38="","",G38*D38)</f>
        <v/>
      </c>
      <c r="I38" s="12">
        <f>IF($B$5&gt;0,IF(D38="","",D38/$B$5),"")</f>
        <v/>
      </c>
      <c r="J38" s="8">
        <f>IF(D38="","",IF(AND(I38&gt;=$E$5,G38&gt;=$E$6),"Renner",IF(AND(I38&gt;=$E$5,G38&lt;$E$6),"Arbeitspferd",IF(AND(I38&lt;$E$5,G38&gt;=$E$6),"Schläfer","Penner"))))</f>
        <v/>
      </c>
    </row>
    <row r="39">
      <c r="A39" s="8" t="n"/>
      <c r="B39" s="8" t="n"/>
      <c r="C39" s="8" t="n"/>
      <c r="D39" s="9" t="n"/>
      <c r="E39" s="10" t="n"/>
      <c r="F39" s="11" t="n"/>
      <c r="G39" s="10">
        <f>E39*(1-F39)</f>
        <v/>
      </c>
      <c r="H39" s="10">
        <f>IF(D39="","",G39*D39)</f>
        <v/>
      </c>
      <c r="I39" s="12">
        <f>IF($B$5&gt;0,IF(D39="","",D39/$B$5),"")</f>
        <v/>
      </c>
      <c r="J39" s="8">
        <f>IF(D39="","",IF(AND(I39&gt;=$E$5,G39&gt;=$E$6),"Renner",IF(AND(I39&gt;=$E$5,G39&lt;$E$6),"Arbeitspferd",IF(AND(I39&lt;$E$5,G39&gt;=$E$6),"Schläfer","Penner"))))</f>
        <v/>
      </c>
    </row>
    <row r="40">
      <c r="A40" s="8" t="n"/>
      <c r="B40" s="8" t="n"/>
      <c r="C40" s="8" t="n"/>
      <c r="D40" s="9" t="n"/>
      <c r="E40" s="10" t="n"/>
      <c r="F40" s="11" t="n"/>
      <c r="G40" s="10">
        <f>E40*(1-F40)</f>
        <v/>
      </c>
      <c r="H40" s="10">
        <f>IF(D40="","",G40*D40)</f>
        <v/>
      </c>
      <c r="I40" s="12">
        <f>IF($B$5&gt;0,IF(D40="","",D40/$B$5),"")</f>
        <v/>
      </c>
      <c r="J40" s="8">
        <f>IF(D40="","",IF(AND(I40&gt;=$E$5,G40&gt;=$E$6),"Renner",IF(AND(I40&gt;=$E$5,G40&lt;$E$6),"Arbeitspferd",IF(AND(I40&lt;$E$5,G40&gt;=$E$6),"Schläfer","Penner"))))</f>
        <v/>
      </c>
    </row>
    <row r="41">
      <c r="A41" s="8" t="n"/>
      <c r="B41" s="8" t="n"/>
      <c r="C41" s="8" t="n"/>
      <c r="D41" s="9" t="n"/>
      <c r="E41" s="10" t="n"/>
      <c r="F41" s="11" t="n"/>
      <c r="G41" s="10">
        <f>E41*(1-F41)</f>
        <v/>
      </c>
      <c r="H41" s="10">
        <f>IF(D41="","",G41*D41)</f>
        <v/>
      </c>
      <c r="I41" s="12">
        <f>IF($B$5&gt;0,IF(D41="","",D41/$B$5),"")</f>
        <v/>
      </c>
      <c r="J41" s="8">
        <f>IF(D41="","",IF(AND(I41&gt;=$E$5,G41&gt;=$E$6),"Renner",IF(AND(I41&gt;=$E$5,G41&lt;$E$6),"Arbeitspferd",IF(AND(I41&lt;$E$5,G41&gt;=$E$6),"Schläfer","Penner"))))</f>
        <v/>
      </c>
    </row>
    <row r="42">
      <c r="A42" s="8" t="n"/>
      <c r="B42" s="8" t="n"/>
      <c r="C42" s="8" t="n"/>
      <c r="D42" s="9" t="n"/>
      <c r="E42" s="10" t="n"/>
      <c r="F42" s="11" t="n"/>
      <c r="G42" s="10">
        <f>E42*(1-F42)</f>
        <v/>
      </c>
      <c r="H42" s="10">
        <f>IF(D42="","",G42*D42)</f>
        <v/>
      </c>
      <c r="I42" s="12">
        <f>IF($B$5&gt;0,IF(D42="","",D42/$B$5),"")</f>
        <v/>
      </c>
      <c r="J42" s="8">
        <f>IF(D42="","",IF(AND(I42&gt;=$E$5,G42&gt;=$E$6),"Renner",IF(AND(I42&gt;=$E$5,G42&lt;$E$6),"Arbeitspferd",IF(AND(I42&lt;$E$5,G42&gt;=$E$6),"Schläfer","Penner"))))</f>
        <v/>
      </c>
    </row>
    <row r="43">
      <c r="A43" s="8" t="n"/>
      <c r="B43" s="8" t="n"/>
      <c r="C43" s="8" t="n"/>
      <c r="D43" s="9" t="n"/>
      <c r="E43" s="10" t="n"/>
      <c r="F43" s="11" t="n"/>
      <c r="G43" s="10">
        <f>E43*(1-F43)</f>
        <v/>
      </c>
      <c r="H43" s="10">
        <f>IF(D43="","",G43*D43)</f>
        <v/>
      </c>
      <c r="I43" s="12">
        <f>IF($B$5&gt;0,IF(D43="","",D43/$B$5),"")</f>
        <v/>
      </c>
      <c r="J43" s="8">
        <f>IF(D43="","",IF(AND(I43&gt;=$E$5,G43&gt;=$E$6),"Renner",IF(AND(I43&gt;=$E$5,G43&lt;$E$6),"Arbeitspferd",IF(AND(I43&lt;$E$5,G43&gt;=$E$6),"Schläfer","Penner"))))</f>
        <v/>
      </c>
    </row>
    <row r="44">
      <c r="A44" s="8" t="n"/>
      <c r="B44" s="8" t="n"/>
      <c r="C44" s="8" t="n"/>
      <c r="D44" s="9" t="n"/>
      <c r="E44" s="10" t="n"/>
      <c r="F44" s="11" t="n"/>
      <c r="G44" s="10">
        <f>E44*(1-F44)</f>
        <v/>
      </c>
      <c r="H44" s="10">
        <f>IF(D44="","",G44*D44)</f>
        <v/>
      </c>
      <c r="I44" s="12">
        <f>IF($B$5&gt;0,IF(D44="","",D44/$B$5),"")</f>
        <v/>
      </c>
      <c r="J44" s="8">
        <f>IF(D44="","",IF(AND(I44&gt;=$E$5,G44&gt;=$E$6),"Renner",IF(AND(I44&gt;=$E$5,G44&lt;$E$6),"Arbeitspferd",IF(AND(I44&lt;$E$5,G44&gt;=$E$6),"Schläfer","Penner"))))</f>
        <v/>
      </c>
    </row>
    <row r="45">
      <c r="A45" s="8" t="n"/>
      <c r="B45" s="8" t="n"/>
      <c r="C45" s="8" t="n"/>
      <c r="D45" s="9" t="n"/>
      <c r="E45" s="10" t="n"/>
      <c r="F45" s="11" t="n"/>
      <c r="G45" s="10">
        <f>E45*(1-F45)</f>
        <v/>
      </c>
      <c r="H45" s="10">
        <f>IF(D45="","",G45*D45)</f>
        <v/>
      </c>
      <c r="I45" s="12">
        <f>IF($B$5&gt;0,IF(D45="","",D45/$B$5),"")</f>
        <v/>
      </c>
      <c r="J45" s="8">
        <f>IF(D45="","",IF(AND(I45&gt;=$E$5,G45&gt;=$E$6),"Renner",IF(AND(I45&gt;=$E$5,G45&lt;$E$6),"Arbeitspferd",IF(AND(I45&lt;$E$5,G45&gt;=$E$6),"Schläfer","Penner"))))</f>
        <v/>
      </c>
    </row>
    <row r="46">
      <c r="A46" s="8" t="n"/>
      <c r="B46" s="8" t="n"/>
      <c r="C46" s="8" t="n"/>
      <c r="D46" s="9" t="n"/>
      <c r="E46" s="10" t="n"/>
      <c r="F46" s="11" t="n"/>
      <c r="G46" s="10">
        <f>E46*(1-F46)</f>
        <v/>
      </c>
      <c r="H46" s="10">
        <f>IF(D46="","",G46*D46)</f>
        <v/>
      </c>
      <c r="I46" s="12">
        <f>IF($B$5&gt;0,IF(D46="","",D46/$B$5),"")</f>
        <v/>
      </c>
      <c r="J46" s="8">
        <f>IF(D46="","",IF(AND(I46&gt;=$E$5,G46&gt;=$E$6),"Renner",IF(AND(I46&gt;=$E$5,G46&lt;$E$6),"Arbeitspferd",IF(AND(I46&lt;$E$5,G46&gt;=$E$6),"Schläfer","Penner"))))</f>
        <v/>
      </c>
    </row>
    <row r="47">
      <c r="A47" s="8" t="n"/>
      <c r="B47" s="8" t="n"/>
      <c r="C47" s="8" t="n"/>
      <c r="D47" s="9" t="n"/>
      <c r="E47" s="10" t="n"/>
      <c r="F47" s="11" t="n"/>
      <c r="G47" s="10">
        <f>E47*(1-F47)</f>
        <v/>
      </c>
      <c r="H47" s="10">
        <f>IF(D47="","",G47*D47)</f>
        <v/>
      </c>
      <c r="I47" s="12">
        <f>IF($B$5&gt;0,IF(D47="","",D47/$B$5),"")</f>
        <v/>
      </c>
      <c r="J47" s="8">
        <f>IF(D47="","",IF(AND(I47&gt;=$E$5,G47&gt;=$E$6),"Renner",IF(AND(I47&gt;=$E$5,G47&lt;$E$6),"Arbeitspferd",IF(AND(I47&lt;$E$5,G47&gt;=$E$6),"Schläfer","Penner"))))</f>
        <v/>
      </c>
    </row>
    <row r="48">
      <c r="A48" s="8" t="n"/>
      <c r="B48" s="8" t="n"/>
      <c r="C48" s="8" t="n"/>
      <c r="D48" s="9" t="n"/>
      <c r="E48" s="10" t="n"/>
      <c r="F48" s="11" t="n"/>
      <c r="G48" s="10">
        <f>E48*(1-F48)</f>
        <v/>
      </c>
      <c r="H48" s="10">
        <f>IF(D48="","",G48*D48)</f>
        <v/>
      </c>
      <c r="I48" s="12">
        <f>IF($B$5&gt;0,IF(D48="","",D48/$B$5),"")</f>
        <v/>
      </c>
      <c r="J48" s="8">
        <f>IF(D48="","",IF(AND(I48&gt;=$E$5,G48&gt;=$E$6),"Renner",IF(AND(I48&gt;=$E$5,G48&lt;$E$6),"Arbeitspferd",IF(AND(I48&lt;$E$5,G48&gt;=$E$6),"Schläfer","Penner"))))</f>
        <v/>
      </c>
    </row>
    <row r="49">
      <c r="A49" s="8" t="n"/>
      <c r="B49" s="8" t="n"/>
      <c r="C49" s="8" t="n"/>
      <c r="D49" s="9" t="n"/>
      <c r="E49" s="10" t="n"/>
      <c r="F49" s="11" t="n"/>
      <c r="G49" s="10">
        <f>E49*(1-F49)</f>
        <v/>
      </c>
      <c r="H49" s="10">
        <f>IF(D49="","",G49*D49)</f>
        <v/>
      </c>
      <c r="I49" s="12">
        <f>IF($B$5&gt;0,IF(D49="","",D49/$B$5),"")</f>
        <v/>
      </c>
      <c r="J49" s="8">
        <f>IF(D49="","",IF(AND(I49&gt;=$E$5,G49&gt;=$E$6),"Renner",IF(AND(I49&gt;=$E$5,G49&lt;$E$6),"Arbeitspferd",IF(AND(I49&lt;$E$5,G49&gt;=$E$6),"Schläfer","Penner"))))</f>
        <v/>
      </c>
    </row>
    <row r="50">
      <c r="A50" s="8" t="n"/>
      <c r="B50" s="8" t="n"/>
      <c r="C50" s="8" t="n"/>
      <c r="D50" s="9" t="n"/>
      <c r="E50" s="10" t="n"/>
      <c r="F50" s="11" t="n"/>
      <c r="G50" s="10">
        <f>E50*(1-F50)</f>
        <v/>
      </c>
      <c r="H50" s="10">
        <f>IF(D50="","",G50*D50)</f>
        <v/>
      </c>
      <c r="I50" s="12">
        <f>IF($B$5&gt;0,IF(D50="","",D50/$B$5),"")</f>
        <v/>
      </c>
      <c r="J50" s="8">
        <f>IF(D50="","",IF(AND(I50&gt;=$E$5,G50&gt;=$E$6),"Renner",IF(AND(I50&gt;=$E$5,G50&lt;$E$6),"Arbeitspferd",IF(AND(I50&lt;$E$5,G50&gt;=$E$6),"Schläfer","Penner"))))</f>
        <v/>
      </c>
    </row>
    <row r="51">
      <c r="A51" s="8" t="n"/>
      <c r="B51" s="8" t="n"/>
      <c r="C51" s="8" t="n"/>
      <c r="D51" s="9" t="n"/>
      <c r="E51" s="10" t="n"/>
      <c r="F51" s="11" t="n"/>
      <c r="G51" s="10">
        <f>E51*(1-F51)</f>
        <v/>
      </c>
      <c r="H51" s="10">
        <f>IF(D51="","",G51*D51)</f>
        <v/>
      </c>
      <c r="I51" s="12">
        <f>IF($B$5&gt;0,IF(D51="","",D51/$B$5),"")</f>
        <v/>
      </c>
      <c r="J51" s="8">
        <f>IF(D51="","",IF(AND(I51&gt;=$E$5,G51&gt;=$E$6),"Renner",IF(AND(I51&gt;=$E$5,G51&lt;$E$6),"Arbeitspferd",IF(AND(I51&lt;$E$5,G51&gt;=$E$6),"Schläfer","Penner"))))</f>
        <v/>
      </c>
    </row>
    <row r="52">
      <c r="A52" s="8" t="n"/>
      <c r="B52" s="8" t="n"/>
      <c r="C52" s="8" t="n"/>
      <c r="D52" s="9" t="n"/>
      <c r="E52" s="10" t="n"/>
      <c r="F52" s="11" t="n"/>
      <c r="G52" s="10">
        <f>E52*(1-F52)</f>
        <v/>
      </c>
      <c r="H52" s="10">
        <f>IF(D52="","",G52*D52)</f>
        <v/>
      </c>
      <c r="I52" s="12">
        <f>IF($B$5&gt;0,IF(D52="","",D52/$B$5),"")</f>
        <v/>
      </c>
      <c r="J52" s="8">
        <f>IF(D52="","",IF(AND(I52&gt;=$E$5,G52&gt;=$E$6),"Renner",IF(AND(I52&gt;=$E$5,G52&lt;$E$6),"Arbeitspferd",IF(AND(I52&lt;$E$5,G52&gt;=$E$6),"Schläfer","Penner"))))</f>
        <v/>
      </c>
    </row>
    <row r="53">
      <c r="A53" s="8" t="n"/>
      <c r="B53" s="8" t="n"/>
      <c r="C53" s="8" t="n"/>
      <c r="D53" s="9" t="n"/>
      <c r="E53" s="10" t="n"/>
      <c r="F53" s="11" t="n"/>
      <c r="G53" s="10">
        <f>E53*(1-F53)</f>
        <v/>
      </c>
      <c r="H53" s="10">
        <f>IF(D53="","",G53*D53)</f>
        <v/>
      </c>
      <c r="I53" s="12">
        <f>IF($B$5&gt;0,IF(D53="","",D53/$B$5),"")</f>
        <v/>
      </c>
      <c r="J53" s="8">
        <f>IF(D53="","",IF(AND(I53&gt;=$E$5,G53&gt;=$E$6),"Renner",IF(AND(I53&gt;=$E$5,G53&lt;$E$6),"Arbeitspferd",IF(AND(I53&lt;$E$5,G53&gt;=$E$6),"Schläfer","Penner"))))</f>
        <v/>
      </c>
    </row>
    <row r="54">
      <c r="A54" s="8" t="n"/>
      <c r="B54" s="8" t="n"/>
      <c r="C54" s="8" t="n"/>
      <c r="D54" s="9" t="n"/>
      <c r="E54" s="10" t="n"/>
      <c r="F54" s="11" t="n"/>
      <c r="G54" s="10">
        <f>E54*(1-F54)</f>
        <v/>
      </c>
      <c r="H54" s="10">
        <f>IF(D54="","",G54*D54)</f>
        <v/>
      </c>
      <c r="I54" s="12">
        <f>IF($B$5&gt;0,IF(D54="","",D54/$B$5),"")</f>
        <v/>
      </c>
      <c r="J54" s="8">
        <f>IF(D54="","",IF(AND(I54&gt;=$E$5,G54&gt;=$E$6),"Renner",IF(AND(I54&gt;=$E$5,G54&lt;$E$6),"Arbeitspferd",IF(AND(I54&lt;$E$5,G54&gt;=$E$6),"Schläfer","Penner"))))</f>
        <v/>
      </c>
    </row>
    <row r="55">
      <c r="A55" s="8" t="n"/>
      <c r="B55" s="8" t="n"/>
      <c r="C55" s="8" t="n"/>
      <c r="D55" s="9" t="n"/>
      <c r="E55" s="10" t="n"/>
      <c r="F55" s="11" t="n"/>
      <c r="G55" s="10">
        <f>E55*(1-F55)</f>
        <v/>
      </c>
      <c r="H55" s="10">
        <f>IF(D55="","",G55*D55)</f>
        <v/>
      </c>
      <c r="I55" s="12">
        <f>IF($B$5&gt;0,IF(D55="","",D55/$B$5),"")</f>
        <v/>
      </c>
      <c r="J55" s="8">
        <f>IF(D55="","",IF(AND(I55&gt;=$E$5,G55&gt;=$E$6),"Renner",IF(AND(I55&gt;=$E$5,G55&lt;$E$6),"Arbeitspferd",IF(AND(I55&lt;$E$5,G55&gt;=$E$6),"Schläfer","Penner"))))</f>
        <v/>
      </c>
    </row>
    <row r="56">
      <c r="A56" s="8" t="n"/>
      <c r="B56" s="8" t="n"/>
      <c r="C56" s="8" t="n"/>
      <c r="D56" s="9" t="n"/>
      <c r="E56" s="10" t="n"/>
      <c r="F56" s="11" t="n"/>
      <c r="G56" s="10">
        <f>E56*(1-F56)</f>
        <v/>
      </c>
      <c r="H56" s="10">
        <f>IF(D56="","",G56*D56)</f>
        <v/>
      </c>
      <c r="I56" s="12">
        <f>IF($B$5&gt;0,IF(D56="","",D56/$B$5),"")</f>
        <v/>
      </c>
      <c r="J56" s="8">
        <f>IF(D56="","",IF(AND(I56&gt;=$E$5,G56&gt;=$E$6),"Renner",IF(AND(I56&gt;=$E$5,G56&lt;$E$6),"Arbeitspferd",IF(AND(I56&lt;$E$5,G56&gt;=$E$6),"Schläfer","Penner"))))</f>
        <v/>
      </c>
    </row>
    <row r="57">
      <c r="A57" s="8" t="n"/>
      <c r="B57" s="8" t="n"/>
      <c r="C57" s="8" t="n"/>
      <c r="D57" s="9" t="n"/>
      <c r="E57" s="10" t="n"/>
      <c r="F57" s="11" t="n"/>
      <c r="G57" s="10">
        <f>E57*(1-F57)</f>
        <v/>
      </c>
      <c r="H57" s="10">
        <f>IF(D57="","",G57*D57)</f>
        <v/>
      </c>
      <c r="I57" s="12">
        <f>IF($B$5&gt;0,IF(D57="","",D57/$B$5),"")</f>
        <v/>
      </c>
      <c r="J57" s="8">
        <f>IF(D57="","",IF(AND(I57&gt;=$E$5,G57&gt;=$E$6),"Renner",IF(AND(I57&gt;=$E$5,G57&lt;$E$6),"Arbeitspferd",IF(AND(I57&lt;$E$5,G57&gt;=$E$6),"Schläfer","Penner"))))</f>
        <v/>
      </c>
    </row>
    <row r="58">
      <c r="A58" s="8" t="n"/>
      <c r="B58" s="8" t="n"/>
      <c r="C58" s="8" t="n"/>
      <c r="D58" s="9" t="n"/>
      <c r="E58" s="10" t="n"/>
      <c r="F58" s="11" t="n"/>
      <c r="G58" s="10">
        <f>E58*(1-F58)</f>
        <v/>
      </c>
      <c r="H58" s="10">
        <f>IF(D58="","",G58*D58)</f>
        <v/>
      </c>
      <c r="I58" s="12">
        <f>IF($B$5&gt;0,IF(D58="","",D58/$B$5),"")</f>
        <v/>
      </c>
      <c r="J58" s="8">
        <f>IF(D58="","",IF(AND(I58&gt;=$E$5,G58&gt;=$E$6),"Renner",IF(AND(I58&gt;=$E$5,G58&lt;$E$6),"Arbeitspferd",IF(AND(I58&lt;$E$5,G58&gt;=$E$6),"Schläfer","Penner"))))</f>
        <v/>
      </c>
    </row>
    <row r="59">
      <c r="A59" s="8" t="n"/>
      <c r="B59" s="8" t="n"/>
      <c r="C59" s="8" t="n"/>
      <c r="D59" s="9" t="n"/>
      <c r="E59" s="10" t="n"/>
      <c r="F59" s="11" t="n"/>
      <c r="G59" s="10">
        <f>E59*(1-F59)</f>
        <v/>
      </c>
      <c r="H59" s="10">
        <f>IF(D59="","",G59*D59)</f>
        <v/>
      </c>
      <c r="I59" s="12">
        <f>IF($B$5&gt;0,IF(D59="","",D59/$B$5),"")</f>
        <v/>
      </c>
      <c r="J59" s="8">
        <f>IF(D59="","",IF(AND(I59&gt;=$E$5,G59&gt;=$E$6),"Renner",IF(AND(I59&gt;=$E$5,G59&lt;$E$6),"Arbeitspferd",IF(AND(I59&lt;$E$5,G59&gt;=$E$6),"Schläfer","Penner"))))</f>
        <v/>
      </c>
    </row>
    <row r="60">
      <c r="A60" s="8" t="n"/>
      <c r="B60" s="8" t="n"/>
      <c r="C60" s="8" t="n"/>
      <c r="D60" s="9" t="n"/>
      <c r="E60" s="10" t="n"/>
      <c r="F60" s="11" t="n"/>
      <c r="G60" s="10">
        <f>E60*(1-F60)</f>
        <v/>
      </c>
      <c r="H60" s="10">
        <f>IF(D60="","",G60*D60)</f>
        <v/>
      </c>
      <c r="I60" s="12">
        <f>IF($B$5&gt;0,IF(D60="","",D60/$B$5),"")</f>
        <v/>
      </c>
      <c r="J60" s="8">
        <f>IF(D60="","",IF(AND(I60&gt;=$E$5,G60&gt;=$E$6),"Renner",IF(AND(I60&gt;=$E$5,G60&lt;$E$6),"Arbeitspferd",IF(AND(I60&lt;$E$5,G60&gt;=$E$6),"Schläfer","Penner"))))</f>
        <v/>
      </c>
    </row>
    <row r="61">
      <c r="A61" s="8" t="n"/>
      <c r="B61" s="8" t="n"/>
      <c r="C61" s="8" t="n"/>
      <c r="D61" s="9" t="n"/>
      <c r="E61" s="10" t="n"/>
      <c r="F61" s="11" t="n"/>
      <c r="G61" s="10">
        <f>E61*(1-F61)</f>
        <v/>
      </c>
      <c r="H61" s="10">
        <f>IF(D61="","",G61*D61)</f>
        <v/>
      </c>
      <c r="I61" s="12">
        <f>IF($B$5&gt;0,IF(D61="","",D61/$B$5),"")</f>
        <v/>
      </c>
      <c r="J61" s="8">
        <f>IF(D61="","",IF(AND(I61&gt;=$E$5,G61&gt;=$E$6),"Renner",IF(AND(I61&gt;=$E$5,G61&lt;$E$6),"Arbeitspferd",IF(AND(I61&lt;$E$5,G61&gt;=$E$6),"Schläfer","Penner"))))</f>
        <v/>
      </c>
    </row>
    <row r="62">
      <c r="A62" s="8" t="n"/>
      <c r="B62" s="8" t="n"/>
      <c r="C62" s="8" t="n"/>
      <c r="D62" s="9" t="n"/>
      <c r="E62" s="10" t="n"/>
      <c r="F62" s="11" t="n"/>
      <c r="G62" s="10">
        <f>E62*(1-F62)</f>
        <v/>
      </c>
      <c r="H62" s="10">
        <f>IF(D62="","",G62*D62)</f>
        <v/>
      </c>
      <c r="I62" s="12">
        <f>IF($B$5&gt;0,IF(D62="","",D62/$B$5),"")</f>
        <v/>
      </c>
      <c r="J62" s="8">
        <f>IF(D62="","",IF(AND(I62&gt;=$E$5,G62&gt;=$E$6),"Renner",IF(AND(I62&gt;=$E$5,G62&lt;$E$6),"Arbeitspferd",IF(AND(I62&lt;$E$5,G62&gt;=$E$6),"Schläfer","Penner"))))</f>
        <v/>
      </c>
    </row>
    <row r="63">
      <c r="A63" s="8" t="n"/>
      <c r="B63" s="8" t="n"/>
      <c r="C63" s="8" t="n"/>
      <c r="D63" s="9" t="n"/>
      <c r="E63" s="10" t="n"/>
      <c r="F63" s="11" t="n"/>
      <c r="G63" s="10">
        <f>E63*(1-F63)</f>
        <v/>
      </c>
      <c r="H63" s="10">
        <f>IF(D63="","",G63*D63)</f>
        <v/>
      </c>
      <c r="I63" s="12">
        <f>IF($B$5&gt;0,IF(D63="","",D63/$B$5),"")</f>
        <v/>
      </c>
      <c r="J63" s="8">
        <f>IF(D63="","",IF(AND(I63&gt;=$E$5,G63&gt;=$E$6),"Renner",IF(AND(I63&gt;=$E$5,G63&lt;$E$6),"Arbeitspferd",IF(AND(I63&lt;$E$5,G63&gt;=$E$6),"Schläfer","Penner"))))</f>
        <v/>
      </c>
    </row>
    <row r="64">
      <c r="A64" s="8" t="n"/>
      <c r="B64" s="8" t="n"/>
      <c r="C64" s="8" t="n"/>
      <c r="D64" s="9" t="n"/>
      <c r="E64" s="10" t="n"/>
      <c r="F64" s="11" t="n"/>
      <c r="G64" s="10">
        <f>E64*(1-F64)</f>
        <v/>
      </c>
      <c r="H64" s="10">
        <f>IF(D64="","",G64*D64)</f>
        <v/>
      </c>
      <c r="I64" s="12">
        <f>IF($B$5&gt;0,IF(D64="","",D64/$B$5),"")</f>
        <v/>
      </c>
      <c r="J64" s="8">
        <f>IF(D64="","",IF(AND(I64&gt;=$E$5,G64&gt;=$E$6),"Renner",IF(AND(I64&gt;=$E$5,G64&lt;$E$6),"Arbeitspferd",IF(AND(I64&lt;$E$5,G64&gt;=$E$6),"Schläfer","Penner"))))</f>
        <v/>
      </c>
    </row>
    <row r="65">
      <c r="A65" s="8" t="n"/>
      <c r="B65" s="8" t="n"/>
      <c r="C65" s="8" t="n"/>
      <c r="D65" s="9" t="n"/>
      <c r="E65" s="10" t="n"/>
      <c r="F65" s="11" t="n"/>
      <c r="G65" s="10">
        <f>E65*(1-F65)</f>
        <v/>
      </c>
      <c r="H65" s="10">
        <f>IF(D65="","",G65*D65)</f>
        <v/>
      </c>
      <c r="I65" s="12">
        <f>IF($B$5&gt;0,IF(D65="","",D65/$B$5),"")</f>
        <v/>
      </c>
      <c r="J65" s="8">
        <f>IF(D65="","",IF(AND(I65&gt;=$E$5,G65&gt;=$E$6),"Renner",IF(AND(I65&gt;=$E$5,G65&lt;$E$6),"Arbeitspferd",IF(AND(I65&lt;$E$5,G65&gt;=$E$6),"Schläfer","Penner"))))</f>
        <v/>
      </c>
    </row>
    <row r="66">
      <c r="A66" s="8" t="n"/>
      <c r="B66" s="8" t="n"/>
      <c r="C66" s="8" t="n"/>
      <c r="D66" s="9" t="n"/>
      <c r="E66" s="10" t="n"/>
      <c r="F66" s="11" t="n"/>
      <c r="G66" s="10">
        <f>E66*(1-F66)</f>
        <v/>
      </c>
      <c r="H66" s="10">
        <f>IF(D66="","",G66*D66)</f>
        <v/>
      </c>
      <c r="I66" s="12">
        <f>IF($B$5&gt;0,IF(D66="","",D66/$B$5),"")</f>
        <v/>
      </c>
      <c r="J66" s="8">
        <f>IF(D66="","",IF(AND(I66&gt;=$E$5,G66&gt;=$E$6),"Renner",IF(AND(I66&gt;=$E$5,G66&lt;$E$6),"Arbeitspferd",IF(AND(I66&lt;$E$5,G66&gt;=$E$6),"Schläfer","Penner"))))</f>
        <v/>
      </c>
    </row>
    <row r="67">
      <c r="A67" s="8" t="n"/>
      <c r="B67" s="8" t="n"/>
      <c r="C67" s="8" t="n"/>
      <c r="D67" s="9" t="n"/>
      <c r="E67" s="10" t="n"/>
      <c r="F67" s="11" t="n"/>
      <c r="G67" s="10">
        <f>E67*(1-F67)</f>
        <v/>
      </c>
      <c r="H67" s="10">
        <f>IF(D67="","",G67*D67)</f>
        <v/>
      </c>
      <c r="I67" s="12">
        <f>IF($B$5&gt;0,IF(D67="","",D67/$B$5),"")</f>
        <v/>
      </c>
      <c r="J67" s="8">
        <f>IF(D67="","",IF(AND(I67&gt;=$E$5,G67&gt;=$E$6),"Renner",IF(AND(I67&gt;=$E$5,G67&lt;$E$6),"Arbeitspferd",IF(AND(I67&lt;$E$5,G67&gt;=$E$6),"Schläfer","Penner"))))</f>
        <v/>
      </c>
    </row>
    <row r="68">
      <c r="A68" s="8" t="n"/>
      <c r="B68" s="8" t="n"/>
      <c r="C68" s="8" t="n"/>
      <c r="D68" s="9" t="n"/>
      <c r="E68" s="10" t="n"/>
      <c r="F68" s="11" t="n"/>
      <c r="G68" s="10">
        <f>E68*(1-F68)</f>
        <v/>
      </c>
      <c r="H68" s="10">
        <f>IF(D68="","",G68*D68)</f>
        <v/>
      </c>
      <c r="I68" s="12">
        <f>IF($B$5&gt;0,IF(D68="","",D68/$B$5),"")</f>
        <v/>
      </c>
      <c r="J68" s="8">
        <f>IF(D68="","",IF(AND(I68&gt;=$E$5,G68&gt;=$E$6),"Renner",IF(AND(I68&gt;=$E$5,G68&lt;$E$6),"Arbeitspferd",IF(AND(I68&lt;$E$5,G68&gt;=$E$6),"Schläfer","Penner"))))</f>
        <v/>
      </c>
    </row>
    <row r="69">
      <c r="A69" s="8" t="n"/>
      <c r="B69" s="8" t="n"/>
      <c r="C69" s="8" t="n"/>
      <c r="D69" s="9" t="n"/>
      <c r="E69" s="10" t="n"/>
      <c r="F69" s="11" t="n"/>
      <c r="G69" s="10">
        <f>E69*(1-F69)</f>
        <v/>
      </c>
      <c r="H69" s="10">
        <f>IF(D69="","",G69*D69)</f>
        <v/>
      </c>
      <c r="I69" s="12">
        <f>IF($B$5&gt;0,IF(D69="","",D69/$B$5),"")</f>
        <v/>
      </c>
      <c r="J69" s="8">
        <f>IF(D69="","",IF(AND(I69&gt;=$E$5,G69&gt;=$E$6),"Renner",IF(AND(I69&gt;=$E$5,G69&lt;$E$6),"Arbeitspferd",IF(AND(I69&lt;$E$5,G69&gt;=$E$6),"Schläfer","Penner"))))</f>
        <v/>
      </c>
    </row>
    <row r="70">
      <c r="A70" s="8" t="n"/>
      <c r="B70" s="8" t="n"/>
      <c r="C70" s="8" t="n"/>
      <c r="D70" s="9" t="n"/>
      <c r="E70" s="10" t="n"/>
      <c r="F70" s="11" t="n"/>
      <c r="G70" s="10">
        <f>E70*(1-F70)</f>
        <v/>
      </c>
      <c r="H70" s="10">
        <f>IF(D70="","",G70*D70)</f>
        <v/>
      </c>
      <c r="I70" s="12">
        <f>IF($B$5&gt;0,IF(D70="","",D70/$B$5),"")</f>
        <v/>
      </c>
      <c r="J70" s="8">
        <f>IF(D70="","",IF(AND(I70&gt;=$E$5,G70&gt;=$E$6),"Renner",IF(AND(I70&gt;=$E$5,G70&lt;$E$6),"Arbeitspferd",IF(AND(I70&lt;$E$5,G70&gt;=$E$6),"Schläfer","Penner"))))</f>
        <v/>
      </c>
    </row>
    <row r="71">
      <c r="A71" s="8" t="n"/>
      <c r="B71" s="8" t="n"/>
      <c r="C71" s="8" t="n"/>
      <c r="D71" s="9" t="n"/>
      <c r="E71" s="10" t="n"/>
      <c r="F71" s="11" t="n"/>
      <c r="G71" s="10">
        <f>E71*(1-F71)</f>
        <v/>
      </c>
      <c r="H71" s="10">
        <f>IF(D71="","",G71*D71)</f>
        <v/>
      </c>
      <c r="I71" s="12">
        <f>IF($B$5&gt;0,IF(D71="","",D71/$B$5),"")</f>
        <v/>
      </c>
      <c r="J71" s="8">
        <f>IF(D71="","",IF(AND(I71&gt;=$E$5,G71&gt;=$E$6),"Renner",IF(AND(I71&gt;=$E$5,G71&lt;$E$6),"Arbeitspferd",IF(AND(I71&lt;$E$5,G71&gt;=$E$6),"Schläfer","Penner"))))</f>
        <v/>
      </c>
    </row>
    <row r="72">
      <c r="A72" s="8" t="n"/>
      <c r="B72" s="8" t="n"/>
      <c r="C72" s="8" t="n"/>
      <c r="D72" s="9" t="n"/>
      <c r="E72" s="10" t="n"/>
      <c r="F72" s="11" t="n"/>
      <c r="G72" s="10">
        <f>E72*(1-F72)</f>
        <v/>
      </c>
      <c r="H72" s="10">
        <f>IF(D72="","",G72*D72)</f>
        <v/>
      </c>
      <c r="I72" s="12">
        <f>IF($B$5&gt;0,IF(D72="","",D72/$B$5),"")</f>
        <v/>
      </c>
      <c r="J72" s="8">
        <f>IF(D72="","",IF(AND(I72&gt;=$E$5,G72&gt;=$E$6),"Renner",IF(AND(I72&gt;=$E$5,G72&lt;$E$6),"Arbeitspferd",IF(AND(I72&lt;$E$5,G72&gt;=$E$6),"Schläfer","Penner"))))</f>
        <v/>
      </c>
    </row>
    <row r="73">
      <c r="A73" s="8" t="n"/>
      <c r="B73" s="8" t="n"/>
      <c r="C73" s="8" t="n"/>
      <c r="D73" s="9" t="n"/>
      <c r="E73" s="10" t="n"/>
      <c r="F73" s="11" t="n"/>
      <c r="G73" s="10">
        <f>E73*(1-F73)</f>
        <v/>
      </c>
      <c r="H73" s="10">
        <f>IF(D73="","",G73*D73)</f>
        <v/>
      </c>
      <c r="I73" s="12">
        <f>IF($B$5&gt;0,IF(D73="","",D73/$B$5),"")</f>
        <v/>
      </c>
      <c r="J73" s="8">
        <f>IF(D73="","",IF(AND(I73&gt;=$E$5,G73&gt;=$E$6),"Renner",IF(AND(I73&gt;=$E$5,G73&lt;$E$6),"Arbeitspferd",IF(AND(I73&lt;$E$5,G73&gt;=$E$6),"Schläfer","Penner"))))</f>
        <v/>
      </c>
    </row>
    <row r="74">
      <c r="A74" s="8" t="n"/>
      <c r="B74" s="8" t="n"/>
      <c r="C74" s="8" t="n"/>
      <c r="D74" s="9" t="n"/>
      <c r="E74" s="10" t="n"/>
      <c r="F74" s="11" t="n"/>
      <c r="G74" s="10">
        <f>E74*(1-F74)</f>
        <v/>
      </c>
      <c r="H74" s="10">
        <f>IF(D74="","",G74*D74)</f>
        <v/>
      </c>
      <c r="I74" s="12">
        <f>IF($B$5&gt;0,IF(D74="","",D74/$B$5),"")</f>
        <v/>
      </c>
      <c r="J74" s="8">
        <f>IF(D74="","",IF(AND(I74&gt;=$E$5,G74&gt;=$E$6),"Renner",IF(AND(I74&gt;=$E$5,G74&lt;$E$6),"Arbeitspferd",IF(AND(I74&lt;$E$5,G74&gt;=$E$6),"Schläfer","Penner"))))</f>
        <v/>
      </c>
    </row>
    <row r="75">
      <c r="A75" s="8" t="n"/>
      <c r="B75" s="8" t="n"/>
      <c r="C75" s="8" t="n"/>
      <c r="D75" s="9" t="n"/>
      <c r="E75" s="10" t="n"/>
      <c r="F75" s="11" t="n"/>
      <c r="G75" s="10">
        <f>E75*(1-F75)</f>
        <v/>
      </c>
      <c r="H75" s="10">
        <f>IF(D75="","",G75*D75)</f>
        <v/>
      </c>
      <c r="I75" s="12">
        <f>IF($B$5&gt;0,IF(D75="","",D75/$B$5),"")</f>
        <v/>
      </c>
      <c r="J75" s="8">
        <f>IF(D75="","",IF(AND(I75&gt;=$E$5,G75&gt;=$E$6),"Renner",IF(AND(I75&gt;=$E$5,G75&lt;$E$6),"Arbeitspferd",IF(AND(I75&lt;$E$5,G75&gt;=$E$6),"Schläfer","Penner"))))</f>
        <v/>
      </c>
    </row>
    <row r="76">
      <c r="A76" s="8" t="n"/>
      <c r="B76" s="8" t="n"/>
      <c r="C76" s="8" t="n"/>
      <c r="D76" s="9" t="n"/>
      <c r="E76" s="10" t="n"/>
      <c r="F76" s="11" t="n"/>
      <c r="G76" s="10">
        <f>E76*(1-F76)</f>
        <v/>
      </c>
      <c r="H76" s="10">
        <f>IF(D76="","",G76*D76)</f>
        <v/>
      </c>
      <c r="I76" s="12">
        <f>IF($B$5&gt;0,IF(D76="","",D76/$B$5),"")</f>
        <v/>
      </c>
      <c r="J76" s="8">
        <f>IF(D76="","",IF(AND(I76&gt;=$E$5,G76&gt;=$E$6),"Renner",IF(AND(I76&gt;=$E$5,G76&lt;$E$6),"Arbeitspferd",IF(AND(I76&lt;$E$5,G76&gt;=$E$6),"Schläfer","Penner"))))</f>
        <v/>
      </c>
    </row>
    <row r="77">
      <c r="A77" s="8" t="n"/>
      <c r="B77" s="8" t="n"/>
      <c r="C77" s="8" t="n"/>
      <c r="D77" s="9" t="n"/>
      <c r="E77" s="10" t="n"/>
      <c r="F77" s="11" t="n"/>
      <c r="G77" s="10">
        <f>E77*(1-F77)</f>
        <v/>
      </c>
      <c r="H77" s="10">
        <f>IF(D77="","",G77*D77)</f>
        <v/>
      </c>
      <c r="I77" s="12">
        <f>IF($B$5&gt;0,IF(D77="","",D77/$B$5),"")</f>
        <v/>
      </c>
      <c r="J77" s="8">
        <f>IF(D77="","",IF(AND(I77&gt;=$E$5,G77&gt;=$E$6),"Renner",IF(AND(I77&gt;=$E$5,G77&lt;$E$6),"Arbeitspferd",IF(AND(I77&lt;$E$5,G77&gt;=$E$6),"Schläfer","Penner"))))</f>
        <v/>
      </c>
    </row>
    <row r="78">
      <c r="A78" s="8" t="n"/>
      <c r="B78" s="8" t="n"/>
      <c r="C78" s="8" t="n"/>
      <c r="D78" s="9" t="n"/>
      <c r="E78" s="10" t="n"/>
      <c r="F78" s="11" t="n"/>
      <c r="G78" s="10">
        <f>E78*(1-F78)</f>
        <v/>
      </c>
      <c r="H78" s="10">
        <f>IF(D78="","",G78*D78)</f>
        <v/>
      </c>
      <c r="I78" s="12">
        <f>IF($B$5&gt;0,IF(D78="","",D78/$B$5),"")</f>
        <v/>
      </c>
      <c r="J78" s="8">
        <f>IF(D78="","",IF(AND(I78&gt;=$E$5,G78&gt;=$E$6),"Renner",IF(AND(I78&gt;=$E$5,G78&lt;$E$6),"Arbeitspferd",IF(AND(I78&lt;$E$5,G78&gt;=$E$6),"Schläfer","Penner"))))</f>
        <v/>
      </c>
    </row>
    <row r="79">
      <c r="A79" s="8" t="n"/>
      <c r="B79" s="8" t="n"/>
      <c r="C79" s="8" t="n"/>
      <c r="D79" s="9" t="n"/>
      <c r="E79" s="10" t="n"/>
      <c r="F79" s="11" t="n"/>
      <c r="G79" s="10">
        <f>E79*(1-F79)</f>
        <v/>
      </c>
      <c r="H79" s="10">
        <f>IF(D79="","",G79*D79)</f>
        <v/>
      </c>
      <c r="I79" s="12">
        <f>IF($B$5&gt;0,IF(D79="","",D79/$B$5),"")</f>
        <v/>
      </c>
      <c r="J79" s="8">
        <f>IF(D79="","",IF(AND(I79&gt;=$E$5,G79&gt;=$E$6),"Renner",IF(AND(I79&gt;=$E$5,G79&lt;$E$6),"Arbeitspferd",IF(AND(I79&lt;$E$5,G79&gt;=$E$6),"Schläfer","Penner"))))</f>
        <v/>
      </c>
    </row>
    <row r="80">
      <c r="A80" s="8" t="n"/>
      <c r="B80" s="8" t="n"/>
      <c r="C80" s="8" t="n"/>
      <c r="D80" s="9" t="n"/>
      <c r="E80" s="10" t="n"/>
      <c r="F80" s="11" t="n"/>
      <c r="G80" s="10">
        <f>E80*(1-F80)</f>
        <v/>
      </c>
      <c r="H80" s="10">
        <f>IF(D80="","",G80*D80)</f>
        <v/>
      </c>
      <c r="I80" s="12">
        <f>IF($B$5&gt;0,IF(D80="","",D80/$B$5),"")</f>
        <v/>
      </c>
      <c r="J80" s="8">
        <f>IF(D80="","",IF(AND(I80&gt;=$E$5,G80&gt;=$E$6),"Renner",IF(AND(I80&gt;=$E$5,G80&lt;$E$6),"Arbeitspferd",IF(AND(I80&lt;$E$5,G80&gt;=$E$6),"Schläfer","Penner"))))</f>
        <v/>
      </c>
    </row>
    <row r="81">
      <c r="A81" s="8" t="n"/>
      <c r="B81" s="8" t="n"/>
      <c r="C81" s="8" t="n"/>
      <c r="D81" s="9" t="n"/>
      <c r="E81" s="10" t="n"/>
      <c r="F81" s="11" t="n"/>
      <c r="G81" s="10">
        <f>E81*(1-F81)</f>
        <v/>
      </c>
      <c r="H81" s="10">
        <f>IF(D81="","",G81*D81)</f>
        <v/>
      </c>
      <c r="I81" s="12">
        <f>IF($B$5&gt;0,IF(D81="","",D81/$B$5),"")</f>
        <v/>
      </c>
      <c r="J81" s="8">
        <f>IF(D81="","",IF(AND(I81&gt;=$E$5,G81&gt;=$E$6),"Renner",IF(AND(I81&gt;=$E$5,G81&lt;$E$6),"Arbeitspferd",IF(AND(I81&lt;$E$5,G81&gt;=$E$6),"Schläfer","Penner"))))</f>
        <v/>
      </c>
    </row>
    <row r="82">
      <c r="A82" s="8" t="n"/>
      <c r="B82" s="8" t="n"/>
      <c r="C82" s="8" t="n"/>
      <c r="D82" s="9" t="n"/>
      <c r="E82" s="10" t="n"/>
      <c r="F82" s="11" t="n"/>
      <c r="G82" s="10">
        <f>E82*(1-F82)</f>
        <v/>
      </c>
      <c r="H82" s="10">
        <f>IF(D82="","",G82*D82)</f>
        <v/>
      </c>
      <c r="I82" s="12">
        <f>IF($B$5&gt;0,IF(D82="","",D82/$B$5),"")</f>
        <v/>
      </c>
      <c r="J82" s="8">
        <f>IF(D82="","",IF(AND(I82&gt;=$E$5,G82&gt;=$E$6),"Renner",IF(AND(I82&gt;=$E$5,G82&lt;$E$6),"Arbeitspferd",IF(AND(I82&lt;$E$5,G82&gt;=$E$6),"Schläfer","Penner"))))</f>
        <v/>
      </c>
    </row>
    <row r="83">
      <c r="A83" s="8" t="n"/>
      <c r="B83" s="8" t="n"/>
      <c r="C83" s="8" t="n"/>
      <c r="D83" s="9" t="n"/>
      <c r="E83" s="10" t="n"/>
      <c r="F83" s="11" t="n"/>
      <c r="G83" s="10">
        <f>E83*(1-F83)</f>
        <v/>
      </c>
      <c r="H83" s="10">
        <f>IF(D83="","",G83*D83)</f>
        <v/>
      </c>
      <c r="I83" s="12">
        <f>IF($B$5&gt;0,IF(D83="","",D83/$B$5),"")</f>
        <v/>
      </c>
      <c r="J83" s="8">
        <f>IF(D83="","",IF(AND(I83&gt;=$E$5,G83&gt;=$E$6),"Renner",IF(AND(I83&gt;=$E$5,G83&lt;$E$6),"Arbeitspferd",IF(AND(I83&lt;$E$5,G83&gt;=$E$6),"Schläfer","Penner"))))</f>
        <v/>
      </c>
    </row>
    <row r="84">
      <c r="A84" s="8" t="n"/>
      <c r="B84" s="8" t="n"/>
      <c r="C84" s="8" t="n"/>
      <c r="D84" s="9" t="n"/>
      <c r="E84" s="10" t="n"/>
      <c r="F84" s="11" t="n"/>
      <c r="G84" s="10">
        <f>E84*(1-F84)</f>
        <v/>
      </c>
      <c r="H84" s="10">
        <f>IF(D84="","",G84*D84)</f>
        <v/>
      </c>
      <c r="I84" s="12">
        <f>IF($B$5&gt;0,IF(D84="","",D84/$B$5),"")</f>
        <v/>
      </c>
      <c r="J84" s="8">
        <f>IF(D84="","",IF(AND(I84&gt;=$E$5,G84&gt;=$E$6),"Renner",IF(AND(I84&gt;=$E$5,G84&lt;$E$6),"Arbeitspferd",IF(AND(I84&lt;$E$5,G84&gt;=$E$6),"Schläfer","Penner"))))</f>
        <v/>
      </c>
    </row>
    <row r="85">
      <c r="A85" s="8" t="n"/>
      <c r="B85" s="8" t="n"/>
      <c r="C85" s="8" t="n"/>
      <c r="D85" s="9" t="n"/>
      <c r="E85" s="10" t="n"/>
      <c r="F85" s="11" t="n"/>
      <c r="G85" s="10">
        <f>E85*(1-F85)</f>
        <v/>
      </c>
      <c r="H85" s="10">
        <f>IF(D85="","",G85*D85)</f>
        <v/>
      </c>
      <c r="I85" s="12">
        <f>IF($B$5&gt;0,IF(D85="","",D85/$B$5),"")</f>
        <v/>
      </c>
      <c r="J85" s="8">
        <f>IF(D85="","",IF(AND(I85&gt;=$E$5,G85&gt;=$E$6),"Renner",IF(AND(I85&gt;=$E$5,G85&lt;$E$6),"Arbeitspferd",IF(AND(I85&lt;$E$5,G85&gt;=$E$6),"Schläfer","Penner"))))</f>
        <v/>
      </c>
    </row>
    <row r="86">
      <c r="A86" s="8" t="n"/>
      <c r="B86" s="8" t="n"/>
      <c r="C86" s="8" t="n"/>
      <c r="D86" s="9" t="n"/>
      <c r="E86" s="10" t="n"/>
      <c r="F86" s="11" t="n"/>
      <c r="G86" s="10">
        <f>E86*(1-F86)</f>
        <v/>
      </c>
      <c r="H86" s="10">
        <f>IF(D86="","",G86*D86)</f>
        <v/>
      </c>
      <c r="I86" s="12">
        <f>IF($B$5&gt;0,IF(D86="","",D86/$B$5),"")</f>
        <v/>
      </c>
      <c r="J86" s="8">
        <f>IF(D86="","",IF(AND(I86&gt;=$E$5,G86&gt;=$E$6),"Renner",IF(AND(I86&gt;=$E$5,G86&lt;$E$6),"Arbeitspferd",IF(AND(I86&lt;$E$5,G86&gt;=$E$6),"Schläfer","Penner"))))</f>
        <v/>
      </c>
    </row>
    <row r="87">
      <c r="A87" s="8" t="n"/>
      <c r="B87" s="8" t="n"/>
      <c r="C87" s="8" t="n"/>
      <c r="D87" s="9" t="n"/>
      <c r="E87" s="10" t="n"/>
      <c r="F87" s="11" t="n"/>
      <c r="G87" s="10">
        <f>E87*(1-F87)</f>
        <v/>
      </c>
      <c r="H87" s="10">
        <f>IF(D87="","",G87*D87)</f>
        <v/>
      </c>
      <c r="I87" s="12">
        <f>IF($B$5&gt;0,IF(D87="","",D87/$B$5),"")</f>
        <v/>
      </c>
      <c r="J87" s="8">
        <f>IF(D87="","",IF(AND(I87&gt;=$E$5,G87&gt;=$E$6),"Renner",IF(AND(I87&gt;=$E$5,G87&lt;$E$6),"Arbeitspferd",IF(AND(I87&lt;$E$5,G87&gt;=$E$6),"Schläfer","Penner"))))</f>
        <v/>
      </c>
    </row>
    <row r="88">
      <c r="A88" s="8" t="n"/>
      <c r="B88" s="8" t="n"/>
      <c r="C88" s="8" t="n"/>
      <c r="D88" s="9" t="n"/>
      <c r="E88" s="10" t="n"/>
      <c r="F88" s="11" t="n"/>
      <c r="G88" s="10">
        <f>E88*(1-F88)</f>
        <v/>
      </c>
      <c r="H88" s="10">
        <f>IF(D88="","",G88*D88)</f>
        <v/>
      </c>
      <c r="I88" s="12">
        <f>IF($B$5&gt;0,IF(D88="","",D88/$B$5),"")</f>
        <v/>
      </c>
      <c r="J88" s="8">
        <f>IF(D88="","",IF(AND(I88&gt;=$E$5,G88&gt;=$E$6),"Renner",IF(AND(I88&gt;=$E$5,G88&lt;$E$6),"Arbeitspferd",IF(AND(I88&lt;$E$5,G88&gt;=$E$6),"Schläfer","Penner"))))</f>
        <v/>
      </c>
    </row>
    <row r="89">
      <c r="A89" s="8" t="n"/>
      <c r="B89" s="8" t="n"/>
      <c r="C89" s="8" t="n"/>
      <c r="D89" s="9" t="n"/>
      <c r="E89" s="10" t="n"/>
      <c r="F89" s="11" t="n"/>
      <c r="G89" s="10">
        <f>E89*(1-F89)</f>
        <v/>
      </c>
      <c r="H89" s="10">
        <f>IF(D89="","",G89*D89)</f>
        <v/>
      </c>
      <c r="I89" s="12">
        <f>IF($B$5&gt;0,IF(D89="","",D89/$B$5),"")</f>
        <v/>
      </c>
      <c r="J89" s="8">
        <f>IF(D89="","",IF(AND(I89&gt;=$E$5,G89&gt;=$E$6),"Renner",IF(AND(I89&gt;=$E$5,G89&lt;$E$6),"Arbeitspferd",IF(AND(I89&lt;$E$5,G89&gt;=$E$6),"Schläfer","Penner"))))</f>
        <v/>
      </c>
    </row>
    <row r="90">
      <c r="A90" s="8" t="n"/>
      <c r="B90" s="8" t="n"/>
      <c r="C90" s="8" t="n"/>
      <c r="D90" s="9" t="n"/>
      <c r="E90" s="10" t="n"/>
      <c r="F90" s="11" t="n"/>
      <c r="G90" s="10">
        <f>E90*(1-F90)</f>
        <v/>
      </c>
      <c r="H90" s="10">
        <f>IF(D90="","",G90*D90)</f>
        <v/>
      </c>
      <c r="I90" s="12">
        <f>IF($B$5&gt;0,IF(D90="","",D90/$B$5),"")</f>
        <v/>
      </c>
      <c r="J90" s="8">
        <f>IF(D90="","",IF(AND(I90&gt;=$E$5,G90&gt;=$E$6),"Renner",IF(AND(I90&gt;=$E$5,G90&lt;$E$6),"Arbeitspferd",IF(AND(I90&lt;$E$5,G90&gt;=$E$6),"Schläfer","Penner"))))</f>
        <v/>
      </c>
    </row>
    <row r="91">
      <c r="A91" s="8" t="n"/>
      <c r="B91" s="8" t="n"/>
      <c r="C91" s="8" t="n"/>
      <c r="D91" s="9" t="n"/>
      <c r="E91" s="10" t="n"/>
      <c r="F91" s="11" t="n"/>
      <c r="G91" s="10">
        <f>E91*(1-F91)</f>
        <v/>
      </c>
      <c r="H91" s="10">
        <f>IF(D91="","",G91*D91)</f>
        <v/>
      </c>
      <c r="I91" s="12">
        <f>IF($B$5&gt;0,IF(D91="","",D91/$B$5),"")</f>
        <v/>
      </c>
      <c r="J91" s="8">
        <f>IF(D91="","",IF(AND(I91&gt;=$E$5,G91&gt;=$E$6),"Renner",IF(AND(I91&gt;=$E$5,G91&lt;$E$6),"Arbeitspferd",IF(AND(I91&lt;$E$5,G91&gt;=$E$6),"Schläfer","Penner"))))</f>
        <v/>
      </c>
    </row>
    <row r="92">
      <c r="A92" s="8" t="n"/>
      <c r="B92" s="8" t="n"/>
      <c r="C92" s="8" t="n"/>
      <c r="D92" s="9" t="n"/>
      <c r="E92" s="10" t="n"/>
      <c r="F92" s="11" t="n"/>
      <c r="G92" s="10">
        <f>E92*(1-F92)</f>
        <v/>
      </c>
      <c r="H92" s="10">
        <f>IF(D92="","",G92*D92)</f>
        <v/>
      </c>
      <c r="I92" s="12">
        <f>IF($B$5&gt;0,IF(D92="","",D92/$B$5),"")</f>
        <v/>
      </c>
      <c r="J92" s="8">
        <f>IF(D92="","",IF(AND(I92&gt;=$E$5,G92&gt;=$E$6),"Renner",IF(AND(I92&gt;=$E$5,G92&lt;$E$6),"Arbeitspferd",IF(AND(I92&lt;$E$5,G92&gt;=$E$6),"Schläfer","Penner"))))</f>
        <v/>
      </c>
    </row>
    <row r="93">
      <c r="A93" s="8" t="n"/>
      <c r="B93" s="8" t="n"/>
      <c r="C93" s="8" t="n"/>
      <c r="D93" s="9" t="n"/>
      <c r="E93" s="10" t="n"/>
      <c r="F93" s="11" t="n"/>
      <c r="G93" s="10">
        <f>E93*(1-F93)</f>
        <v/>
      </c>
      <c r="H93" s="10">
        <f>IF(D93="","",G93*D93)</f>
        <v/>
      </c>
      <c r="I93" s="12">
        <f>IF($B$5&gt;0,IF(D93="","",D93/$B$5),"")</f>
        <v/>
      </c>
      <c r="J93" s="8">
        <f>IF(D93="","",IF(AND(I93&gt;=$E$5,G93&gt;=$E$6),"Renner",IF(AND(I93&gt;=$E$5,G93&lt;$E$6),"Arbeitspferd",IF(AND(I93&lt;$E$5,G93&gt;=$E$6),"Schläfer","Penner"))))</f>
        <v/>
      </c>
    </row>
    <row r="94">
      <c r="A94" s="8" t="n"/>
      <c r="B94" s="8" t="n"/>
      <c r="C94" s="8" t="n"/>
      <c r="D94" s="9" t="n"/>
      <c r="E94" s="10" t="n"/>
      <c r="F94" s="11" t="n"/>
      <c r="G94" s="10">
        <f>E94*(1-F94)</f>
        <v/>
      </c>
      <c r="H94" s="10">
        <f>IF(D94="","",G94*D94)</f>
        <v/>
      </c>
      <c r="I94" s="12">
        <f>IF($B$5&gt;0,IF(D94="","",D94/$B$5),"")</f>
        <v/>
      </c>
      <c r="J94" s="8">
        <f>IF(D94="","",IF(AND(I94&gt;=$E$5,G94&gt;=$E$6),"Renner",IF(AND(I94&gt;=$E$5,G94&lt;$E$6),"Arbeitspferd",IF(AND(I94&lt;$E$5,G94&gt;=$E$6),"Schläfer","Penner"))))</f>
        <v/>
      </c>
    </row>
    <row r="95">
      <c r="A95" s="8" t="n"/>
      <c r="B95" s="8" t="n"/>
      <c r="C95" s="8" t="n"/>
      <c r="D95" s="9" t="n"/>
      <c r="E95" s="10" t="n"/>
      <c r="F95" s="11" t="n"/>
      <c r="G95" s="10">
        <f>E95*(1-F95)</f>
        <v/>
      </c>
      <c r="H95" s="10">
        <f>IF(D95="","",G95*D95)</f>
        <v/>
      </c>
      <c r="I95" s="12">
        <f>IF($B$5&gt;0,IF(D95="","",D95/$B$5),"")</f>
        <v/>
      </c>
      <c r="J95" s="8">
        <f>IF(D95="","",IF(AND(I95&gt;=$E$5,G95&gt;=$E$6),"Renner",IF(AND(I95&gt;=$E$5,G95&lt;$E$6),"Arbeitspferd",IF(AND(I95&lt;$E$5,G95&gt;=$E$6),"Schläfer","Penner"))))</f>
        <v/>
      </c>
    </row>
    <row r="96">
      <c r="A96" s="8" t="n"/>
      <c r="B96" s="8" t="n"/>
      <c r="C96" s="8" t="n"/>
      <c r="D96" s="9" t="n"/>
      <c r="E96" s="10" t="n"/>
      <c r="F96" s="11" t="n"/>
      <c r="G96" s="10">
        <f>E96*(1-F96)</f>
        <v/>
      </c>
      <c r="H96" s="10">
        <f>IF(D96="","",G96*D96)</f>
        <v/>
      </c>
      <c r="I96" s="12">
        <f>IF($B$5&gt;0,IF(D96="","",D96/$B$5),"")</f>
        <v/>
      </c>
      <c r="J96" s="8">
        <f>IF(D96="","",IF(AND(I96&gt;=$E$5,G96&gt;=$E$6),"Renner",IF(AND(I96&gt;=$E$5,G96&lt;$E$6),"Arbeitspferd",IF(AND(I96&lt;$E$5,G96&gt;=$E$6),"Schläfer","Penner"))))</f>
        <v/>
      </c>
    </row>
    <row r="97">
      <c r="A97" s="8" t="n"/>
      <c r="B97" s="8" t="n"/>
      <c r="C97" s="8" t="n"/>
      <c r="D97" s="9" t="n"/>
      <c r="E97" s="10" t="n"/>
      <c r="F97" s="11" t="n"/>
      <c r="G97" s="10">
        <f>E97*(1-F97)</f>
        <v/>
      </c>
      <c r="H97" s="10">
        <f>IF(D97="","",G97*D97)</f>
        <v/>
      </c>
      <c r="I97" s="12">
        <f>IF($B$5&gt;0,IF(D97="","",D97/$B$5),"")</f>
        <v/>
      </c>
      <c r="J97" s="8">
        <f>IF(D97="","",IF(AND(I97&gt;=$E$5,G97&gt;=$E$6),"Renner",IF(AND(I97&gt;=$E$5,G97&lt;$E$6),"Arbeitspferd",IF(AND(I97&lt;$E$5,G97&gt;=$E$6),"Schläfer","Penner"))))</f>
        <v/>
      </c>
    </row>
    <row r="98">
      <c r="A98" s="8" t="n"/>
      <c r="B98" s="8" t="n"/>
      <c r="C98" s="8" t="n"/>
      <c r="D98" s="9" t="n"/>
      <c r="E98" s="10" t="n"/>
      <c r="F98" s="11" t="n"/>
      <c r="G98" s="10">
        <f>E98*(1-F98)</f>
        <v/>
      </c>
      <c r="H98" s="10">
        <f>IF(D98="","",G98*D98)</f>
        <v/>
      </c>
      <c r="I98" s="12">
        <f>IF($B$5&gt;0,IF(D98="","",D98/$B$5),"")</f>
        <v/>
      </c>
      <c r="J98" s="8">
        <f>IF(D98="","",IF(AND(I98&gt;=$E$5,G98&gt;=$E$6),"Renner",IF(AND(I98&gt;=$E$5,G98&lt;$E$6),"Arbeitspferd",IF(AND(I98&lt;$E$5,G98&gt;=$E$6),"Schläfer","Penner"))))</f>
        <v/>
      </c>
    </row>
    <row r="99">
      <c r="A99" s="8" t="n"/>
      <c r="B99" s="8" t="n"/>
      <c r="C99" s="8" t="n"/>
      <c r="D99" s="9" t="n"/>
      <c r="E99" s="10" t="n"/>
      <c r="F99" s="11" t="n"/>
      <c r="G99" s="10">
        <f>E99*(1-F99)</f>
        <v/>
      </c>
      <c r="H99" s="10">
        <f>IF(D99="","",G99*D99)</f>
        <v/>
      </c>
      <c r="I99" s="12">
        <f>IF($B$5&gt;0,IF(D99="","",D99/$B$5),"")</f>
        <v/>
      </c>
      <c r="J99" s="8">
        <f>IF(D99="","",IF(AND(I99&gt;=$E$5,G99&gt;=$E$6),"Renner",IF(AND(I99&gt;=$E$5,G99&lt;$E$6),"Arbeitspferd",IF(AND(I99&lt;$E$5,G99&gt;=$E$6),"Schläfer","Penner"))))</f>
        <v/>
      </c>
    </row>
    <row r="100">
      <c r="A100" s="8" t="n"/>
      <c r="B100" s="8" t="n"/>
      <c r="C100" s="8" t="n"/>
      <c r="D100" s="9" t="n"/>
      <c r="E100" s="10" t="n"/>
      <c r="F100" s="11" t="n"/>
      <c r="G100" s="10">
        <f>E100*(1-F100)</f>
        <v/>
      </c>
      <c r="H100" s="10">
        <f>IF(D100="","",G100*D100)</f>
        <v/>
      </c>
      <c r="I100" s="12">
        <f>IF($B$5&gt;0,IF(D100="","",D100/$B$5),"")</f>
        <v/>
      </c>
      <c r="J100" s="8">
        <f>IF(D100="","",IF(AND(I100&gt;=$E$5,G100&gt;=$E$6),"Renner",IF(AND(I100&gt;=$E$5,G100&lt;$E$6),"Arbeitspferd",IF(AND(I100&lt;$E$5,G100&gt;=$E$6),"Schläfer","Penner"))))</f>
        <v/>
      </c>
    </row>
    <row r="101">
      <c r="A101" s="8" t="n"/>
      <c r="B101" s="8" t="n"/>
      <c r="C101" s="8" t="n"/>
      <c r="D101" s="9" t="n"/>
      <c r="E101" s="10" t="n"/>
      <c r="F101" s="11" t="n"/>
      <c r="G101" s="10">
        <f>E101*(1-F101)</f>
        <v/>
      </c>
      <c r="H101" s="10">
        <f>IF(D101="","",G101*D101)</f>
        <v/>
      </c>
      <c r="I101" s="12">
        <f>IF($B$5&gt;0,IF(D101="","",D101/$B$5),"")</f>
        <v/>
      </c>
      <c r="J101" s="8">
        <f>IF(D101="","",IF(AND(I101&gt;=$E$5,G101&gt;=$E$6),"Renner",IF(AND(I101&gt;=$E$5,G101&lt;$E$6),"Arbeitspferd",IF(AND(I101&lt;$E$5,G101&gt;=$E$6),"Schläfer","Penner"))))</f>
        <v/>
      </c>
    </row>
    <row r="102">
      <c r="A102" s="8" t="n"/>
      <c r="B102" s="8" t="n"/>
      <c r="C102" s="8" t="n"/>
      <c r="D102" s="9" t="n"/>
      <c r="E102" s="10" t="n"/>
      <c r="F102" s="11" t="n"/>
      <c r="G102" s="10">
        <f>E102*(1-F102)</f>
        <v/>
      </c>
      <c r="H102" s="10">
        <f>IF(D102="","",G102*D102)</f>
        <v/>
      </c>
      <c r="I102" s="12">
        <f>IF($B$5&gt;0,IF(D102="","",D102/$B$5),"")</f>
        <v/>
      </c>
      <c r="J102" s="8">
        <f>IF(D102="","",IF(AND(I102&gt;=$E$5,G102&gt;=$E$6),"Renner",IF(AND(I102&gt;=$E$5,G102&lt;$E$6),"Arbeitspferd",IF(AND(I102&lt;$E$5,G102&gt;=$E$6),"Schläfer","Penner"))))</f>
        <v/>
      </c>
    </row>
    <row r="103">
      <c r="A103" s="8" t="n"/>
      <c r="B103" s="8" t="n"/>
      <c r="C103" s="8" t="n"/>
      <c r="D103" s="9" t="n"/>
      <c r="E103" s="10" t="n"/>
      <c r="F103" s="11" t="n"/>
      <c r="G103" s="10">
        <f>E103*(1-F103)</f>
        <v/>
      </c>
      <c r="H103" s="10">
        <f>IF(D103="","",G103*D103)</f>
        <v/>
      </c>
      <c r="I103" s="12">
        <f>IF($B$5&gt;0,IF(D103="","",D103/$B$5),"")</f>
        <v/>
      </c>
      <c r="J103" s="8">
        <f>IF(D103="","",IF(AND(I103&gt;=$E$5,G103&gt;=$E$6),"Renner",IF(AND(I103&gt;=$E$5,G103&lt;$E$6),"Arbeitspferd",IF(AND(I103&lt;$E$5,G103&gt;=$E$6),"Schläfer","Penner"))))</f>
        <v/>
      </c>
    </row>
    <row r="104">
      <c r="A104" s="8" t="n"/>
      <c r="B104" s="8" t="n"/>
      <c r="C104" s="8" t="n"/>
      <c r="D104" s="9" t="n"/>
      <c r="E104" s="10" t="n"/>
      <c r="F104" s="11" t="n"/>
      <c r="G104" s="10">
        <f>E104*(1-F104)</f>
        <v/>
      </c>
      <c r="H104" s="10">
        <f>IF(D104="","",G104*D104)</f>
        <v/>
      </c>
      <c r="I104" s="12">
        <f>IF($B$5&gt;0,IF(D104="","",D104/$B$5),"")</f>
        <v/>
      </c>
      <c r="J104" s="8">
        <f>IF(D104="","",IF(AND(I104&gt;=$E$5,G104&gt;=$E$6),"Renner",IF(AND(I104&gt;=$E$5,G104&lt;$E$6),"Arbeitspferd",IF(AND(I104&lt;$E$5,G104&gt;=$E$6),"Schläfer","Penner"))))</f>
        <v/>
      </c>
    </row>
    <row r="105">
      <c r="A105" s="8" t="n"/>
      <c r="B105" s="8" t="n"/>
      <c r="C105" s="8" t="n"/>
      <c r="D105" s="9" t="n"/>
      <c r="E105" s="10" t="n"/>
      <c r="F105" s="11" t="n"/>
      <c r="G105" s="10">
        <f>E105*(1-F105)</f>
        <v/>
      </c>
      <c r="H105" s="10">
        <f>IF(D105="","",G105*D105)</f>
        <v/>
      </c>
      <c r="I105" s="12">
        <f>IF($B$5&gt;0,IF(D105="","",D105/$B$5),"")</f>
        <v/>
      </c>
      <c r="J105" s="8">
        <f>IF(D105="","",IF(AND(I105&gt;=$E$5,G105&gt;=$E$6),"Renner",IF(AND(I105&gt;=$E$5,G105&lt;$E$6),"Arbeitspferd",IF(AND(I105&lt;$E$5,G105&gt;=$E$6),"Schläfer","Penner"))))</f>
        <v/>
      </c>
    </row>
    <row r="106">
      <c r="A106" s="8" t="n"/>
      <c r="B106" s="8" t="n"/>
      <c r="C106" s="8" t="n"/>
      <c r="D106" s="9" t="n"/>
      <c r="E106" s="10" t="n"/>
      <c r="F106" s="11" t="n"/>
      <c r="G106" s="10">
        <f>E106*(1-F106)</f>
        <v/>
      </c>
      <c r="H106" s="10">
        <f>IF(D106="","",G106*D106)</f>
        <v/>
      </c>
      <c r="I106" s="12">
        <f>IF($B$5&gt;0,IF(D106="","",D106/$B$5),"")</f>
        <v/>
      </c>
      <c r="J106" s="8">
        <f>IF(D106="","",IF(AND(I106&gt;=$E$5,G106&gt;=$E$6),"Renner",IF(AND(I106&gt;=$E$5,G106&lt;$E$6),"Arbeitspferd",IF(AND(I106&lt;$E$5,G106&gt;=$E$6),"Schläfer","Penner"))))</f>
        <v/>
      </c>
    </row>
    <row r="107">
      <c r="A107" s="8" t="n"/>
      <c r="B107" s="8" t="n"/>
      <c r="C107" s="8" t="n"/>
      <c r="D107" s="9" t="n"/>
      <c r="E107" s="10" t="n"/>
      <c r="F107" s="11" t="n"/>
      <c r="G107" s="10">
        <f>E107*(1-F107)</f>
        <v/>
      </c>
      <c r="H107" s="10">
        <f>IF(D107="","",G107*D107)</f>
        <v/>
      </c>
      <c r="I107" s="12">
        <f>IF($B$5&gt;0,IF(D107="","",D107/$B$5),"")</f>
        <v/>
      </c>
      <c r="J107" s="8">
        <f>IF(D107="","",IF(AND(I107&gt;=$E$5,G107&gt;=$E$6),"Renner",IF(AND(I107&gt;=$E$5,G107&lt;$E$6),"Arbeitspferd",IF(AND(I107&lt;$E$5,G107&gt;=$E$6),"Schläfer","Penner"))))</f>
        <v/>
      </c>
    </row>
    <row r="108">
      <c r="A108" s="8" t="n"/>
      <c r="B108" s="8" t="n"/>
      <c r="C108" s="8" t="n"/>
      <c r="D108" s="9" t="n"/>
      <c r="E108" s="10" t="n"/>
      <c r="F108" s="11" t="n"/>
      <c r="G108" s="10">
        <f>E108*(1-F108)</f>
        <v/>
      </c>
      <c r="H108" s="10">
        <f>IF(D108="","",G108*D108)</f>
        <v/>
      </c>
      <c r="I108" s="12">
        <f>IF($B$5&gt;0,IF(D108="","",D108/$B$5),"")</f>
        <v/>
      </c>
      <c r="J108" s="8">
        <f>IF(D108="","",IF(AND(I108&gt;=$E$5,G108&gt;=$E$6),"Renner",IF(AND(I108&gt;=$E$5,G108&lt;$E$6),"Arbeitspferd",IF(AND(I108&lt;$E$5,G108&gt;=$E$6),"Schläfer","Penner"))))</f>
        <v/>
      </c>
    </row>
    <row r="109">
      <c r="A109" s="8" t="n"/>
      <c r="B109" s="8" t="n"/>
      <c r="C109" s="8" t="n"/>
      <c r="D109" s="9" t="n"/>
      <c r="E109" s="10" t="n"/>
      <c r="F109" s="11" t="n"/>
      <c r="G109" s="10">
        <f>E109*(1-F109)</f>
        <v/>
      </c>
      <c r="H109" s="10">
        <f>IF(D109="","",G109*D109)</f>
        <v/>
      </c>
      <c r="I109" s="12">
        <f>IF($B$5&gt;0,IF(D109="","",D109/$B$5),"")</f>
        <v/>
      </c>
      <c r="J109" s="8">
        <f>IF(D109="","",IF(AND(I109&gt;=$E$5,G109&gt;=$E$6),"Renner",IF(AND(I109&gt;=$E$5,G109&lt;$E$6),"Arbeitspferd",IF(AND(I109&lt;$E$5,G109&gt;=$E$6),"Schläfer","Penner"))))</f>
        <v/>
      </c>
    </row>
    <row r="110">
      <c r="A110" s="8" t="n"/>
      <c r="B110" s="8" t="n"/>
      <c r="C110" s="8" t="n"/>
      <c r="D110" s="9" t="n"/>
      <c r="E110" s="10" t="n"/>
      <c r="F110" s="11" t="n"/>
      <c r="G110" s="10">
        <f>E110*(1-F110)</f>
        <v/>
      </c>
      <c r="H110" s="10">
        <f>IF(D110="","",G110*D110)</f>
        <v/>
      </c>
      <c r="I110" s="12">
        <f>IF($B$5&gt;0,IF(D110="","",D110/$B$5),"")</f>
        <v/>
      </c>
      <c r="J110" s="8">
        <f>IF(D110="","",IF(AND(I110&gt;=$E$5,G110&gt;=$E$6),"Renner",IF(AND(I110&gt;=$E$5,G110&lt;$E$6),"Arbeitspferd",IF(AND(I110&lt;$E$5,G110&gt;=$E$6),"Schläfer","Penner"))))</f>
        <v/>
      </c>
    </row>
    <row r="111">
      <c r="A111" s="8" t="n"/>
      <c r="B111" s="8" t="n"/>
      <c r="C111" s="8" t="n"/>
      <c r="D111" s="9" t="n"/>
      <c r="E111" s="10" t="n"/>
      <c r="F111" s="11" t="n"/>
      <c r="G111" s="10">
        <f>E111*(1-F111)</f>
        <v/>
      </c>
      <c r="H111" s="10">
        <f>IF(D111="","",G111*D111)</f>
        <v/>
      </c>
      <c r="I111" s="12">
        <f>IF($B$5&gt;0,IF(D111="","",D111/$B$5),"")</f>
        <v/>
      </c>
      <c r="J111" s="8">
        <f>IF(D111="","",IF(AND(I111&gt;=$E$5,G111&gt;=$E$6),"Renner",IF(AND(I111&gt;=$E$5,G111&lt;$E$6),"Arbeitspferd",IF(AND(I111&lt;$E$5,G111&gt;=$E$6),"Schläfer","Penner"))))</f>
        <v/>
      </c>
    </row>
    <row r="112">
      <c r="A112" s="8" t="n"/>
      <c r="B112" s="8" t="n"/>
      <c r="C112" s="8" t="n"/>
      <c r="D112" s="9" t="n"/>
      <c r="E112" s="10" t="n"/>
      <c r="F112" s="11" t="n"/>
      <c r="G112" s="10">
        <f>E112*(1-F112)</f>
        <v/>
      </c>
      <c r="H112" s="10">
        <f>IF(D112="","",G112*D112)</f>
        <v/>
      </c>
      <c r="I112" s="12">
        <f>IF($B$5&gt;0,IF(D112="","",D112/$B$5),"")</f>
        <v/>
      </c>
      <c r="J112" s="8">
        <f>IF(D112="","",IF(AND(I112&gt;=$E$5,G112&gt;=$E$6),"Renner",IF(AND(I112&gt;=$E$5,G112&lt;$E$6),"Arbeitspferd",IF(AND(I112&lt;$E$5,G112&gt;=$E$6),"Schläfer","Penner"))))</f>
        <v/>
      </c>
    </row>
    <row r="113">
      <c r="A113" s="8" t="n"/>
      <c r="B113" s="8" t="n"/>
      <c r="C113" s="8" t="n"/>
      <c r="D113" s="9" t="n"/>
      <c r="E113" s="10" t="n"/>
      <c r="F113" s="11" t="n"/>
      <c r="G113" s="10">
        <f>E113*(1-F113)</f>
        <v/>
      </c>
      <c r="H113" s="10">
        <f>IF(D113="","",G113*D113)</f>
        <v/>
      </c>
      <c r="I113" s="12">
        <f>IF($B$5&gt;0,IF(D113="","",D113/$B$5),"")</f>
        <v/>
      </c>
      <c r="J113" s="8">
        <f>IF(D113="","",IF(AND(I113&gt;=$E$5,G113&gt;=$E$6),"Renner",IF(AND(I113&gt;=$E$5,G113&lt;$E$6),"Arbeitspferd",IF(AND(I113&lt;$E$5,G113&gt;=$E$6),"Schläfer","Penner"))))</f>
        <v/>
      </c>
    </row>
    <row r="114">
      <c r="A114" s="8" t="n"/>
      <c r="B114" s="8" t="n"/>
      <c r="C114" s="8" t="n"/>
      <c r="D114" s="9" t="n"/>
      <c r="E114" s="10" t="n"/>
      <c r="F114" s="11" t="n"/>
      <c r="G114" s="10">
        <f>E114*(1-F114)</f>
        <v/>
      </c>
      <c r="H114" s="10">
        <f>IF(D114="","",G114*D114)</f>
        <v/>
      </c>
      <c r="I114" s="12">
        <f>IF($B$5&gt;0,IF(D114="","",D114/$B$5),"")</f>
        <v/>
      </c>
      <c r="J114" s="8">
        <f>IF(D114="","",IF(AND(I114&gt;=$E$5,G114&gt;=$E$6),"Renner",IF(AND(I114&gt;=$E$5,G114&lt;$E$6),"Arbeitspferd",IF(AND(I114&lt;$E$5,G114&gt;=$E$6),"Schläfer","Penner"))))</f>
        <v/>
      </c>
    </row>
    <row r="115">
      <c r="A115" s="8" t="n"/>
      <c r="B115" s="8" t="n"/>
      <c r="C115" s="8" t="n"/>
      <c r="D115" s="9" t="n"/>
      <c r="E115" s="10" t="n"/>
      <c r="F115" s="11" t="n"/>
      <c r="G115" s="10">
        <f>E115*(1-F115)</f>
        <v/>
      </c>
      <c r="H115" s="10">
        <f>IF(D115="","",G115*D115)</f>
        <v/>
      </c>
      <c r="I115" s="12">
        <f>IF($B$5&gt;0,IF(D115="","",D115/$B$5),"")</f>
        <v/>
      </c>
      <c r="J115" s="8">
        <f>IF(D115="","",IF(AND(I115&gt;=$E$5,G115&gt;=$E$6),"Renner",IF(AND(I115&gt;=$E$5,G115&lt;$E$6),"Arbeitspferd",IF(AND(I115&lt;$E$5,G115&gt;=$E$6),"Schläfer","Penner"))))</f>
        <v/>
      </c>
    </row>
    <row r="116">
      <c r="A116" s="8" t="n"/>
      <c r="B116" s="8" t="n"/>
      <c r="C116" s="8" t="n"/>
      <c r="D116" s="9" t="n"/>
      <c r="E116" s="10" t="n"/>
      <c r="F116" s="11" t="n"/>
      <c r="G116" s="10">
        <f>E116*(1-F116)</f>
        <v/>
      </c>
      <c r="H116" s="10">
        <f>IF(D116="","",G116*D116)</f>
        <v/>
      </c>
      <c r="I116" s="12">
        <f>IF($B$5&gt;0,IF(D116="","",D116/$B$5),"")</f>
        <v/>
      </c>
      <c r="J116" s="8">
        <f>IF(D116="","",IF(AND(I116&gt;=$E$5,G116&gt;=$E$6),"Renner",IF(AND(I116&gt;=$E$5,G116&lt;$E$6),"Arbeitspferd",IF(AND(I116&lt;$E$5,G116&gt;=$E$6),"Schläfer","Penner"))))</f>
        <v/>
      </c>
    </row>
    <row r="117">
      <c r="A117" s="8" t="n"/>
      <c r="B117" s="8" t="n"/>
      <c r="C117" s="8" t="n"/>
      <c r="D117" s="9" t="n"/>
      <c r="E117" s="10" t="n"/>
      <c r="F117" s="11" t="n"/>
      <c r="G117" s="10">
        <f>E117*(1-F117)</f>
        <v/>
      </c>
      <c r="H117" s="10">
        <f>IF(D117="","",G117*D117)</f>
        <v/>
      </c>
      <c r="I117" s="12">
        <f>IF($B$5&gt;0,IF(D117="","",D117/$B$5),"")</f>
        <v/>
      </c>
      <c r="J117" s="8">
        <f>IF(D117="","",IF(AND(I117&gt;=$E$5,G117&gt;=$E$6),"Renner",IF(AND(I117&gt;=$E$5,G117&lt;$E$6),"Arbeitspferd",IF(AND(I117&lt;$E$5,G117&gt;=$E$6),"Schläfer","Penner"))))</f>
        <v/>
      </c>
    </row>
    <row r="118">
      <c r="A118" s="8" t="n"/>
      <c r="B118" s="8" t="n"/>
      <c r="C118" s="8" t="n"/>
      <c r="D118" s="9" t="n"/>
      <c r="E118" s="10" t="n"/>
      <c r="F118" s="11" t="n"/>
      <c r="G118" s="10">
        <f>E118*(1-F118)</f>
        <v/>
      </c>
      <c r="H118" s="10">
        <f>IF(D118="","",G118*D118)</f>
        <v/>
      </c>
      <c r="I118" s="12">
        <f>IF($B$5&gt;0,IF(D118="","",D118/$B$5),"")</f>
        <v/>
      </c>
      <c r="J118" s="8">
        <f>IF(D118="","",IF(AND(I118&gt;=$E$5,G118&gt;=$E$6),"Renner",IF(AND(I118&gt;=$E$5,G118&lt;$E$6),"Arbeitspferd",IF(AND(I118&lt;$E$5,G118&gt;=$E$6),"Schläfer","Penner"))))</f>
        <v/>
      </c>
    </row>
    <row r="119">
      <c r="A119" s="8" t="n"/>
      <c r="B119" s="8" t="n"/>
      <c r="C119" s="8" t="n"/>
      <c r="D119" s="9" t="n"/>
      <c r="E119" s="10" t="n"/>
      <c r="F119" s="11" t="n"/>
      <c r="G119" s="10">
        <f>E119*(1-F119)</f>
        <v/>
      </c>
      <c r="H119" s="10">
        <f>IF(D119="","",G119*D119)</f>
        <v/>
      </c>
      <c r="I119" s="12">
        <f>IF($B$5&gt;0,IF(D119="","",D119/$B$5),"")</f>
        <v/>
      </c>
      <c r="J119" s="8">
        <f>IF(D119="","",IF(AND(I119&gt;=$E$5,G119&gt;=$E$6),"Renner",IF(AND(I119&gt;=$E$5,G119&lt;$E$6),"Arbeitspferd",IF(AND(I119&lt;$E$5,G119&gt;=$E$6),"Schläfer","Penner"))))</f>
        <v/>
      </c>
    </row>
    <row r="120">
      <c r="A120" s="8" t="n"/>
      <c r="B120" s="8" t="n"/>
      <c r="C120" s="8" t="n"/>
      <c r="D120" s="9" t="n"/>
      <c r="E120" s="10" t="n"/>
      <c r="F120" s="11" t="n"/>
      <c r="G120" s="10">
        <f>E120*(1-F120)</f>
        <v/>
      </c>
      <c r="H120" s="10">
        <f>IF(D120="","",G120*D120)</f>
        <v/>
      </c>
      <c r="I120" s="12">
        <f>IF($B$5&gt;0,IF(D120="","",D120/$B$5),"")</f>
        <v/>
      </c>
      <c r="J120" s="8">
        <f>IF(D120="","",IF(AND(I120&gt;=$E$5,G120&gt;=$E$6),"Renner",IF(AND(I120&gt;=$E$5,G120&lt;$E$6),"Arbeitspferd",IF(AND(I120&lt;$E$5,G120&gt;=$E$6),"Schläfer","Penner"))))</f>
        <v/>
      </c>
    </row>
    <row r="121">
      <c r="A121" s="8" t="n"/>
      <c r="B121" s="8" t="n"/>
      <c r="C121" s="8" t="n"/>
      <c r="D121" s="9" t="n"/>
      <c r="E121" s="10" t="n"/>
      <c r="F121" s="11" t="n"/>
      <c r="G121" s="10">
        <f>E121*(1-F121)</f>
        <v/>
      </c>
      <c r="H121" s="10">
        <f>IF(D121="","",G121*D121)</f>
        <v/>
      </c>
      <c r="I121" s="12">
        <f>IF($B$5&gt;0,IF(D121="","",D121/$B$5),"")</f>
        <v/>
      </c>
      <c r="J121" s="8">
        <f>IF(D121="","",IF(AND(I121&gt;=$E$5,G121&gt;=$E$6),"Renner",IF(AND(I121&gt;=$E$5,G121&lt;$E$6),"Arbeitspferd",IF(AND(I121&lt;$E$5,G121&gt;=$E$6),"Schläfer","Penner"))))</f>
        <v/>
      </c>
    </row>
    <row r="122">
      <c r="A122" s="8" t="n"/>
      <c r="B122" s="8" t="n"/>
      <c r="C122" s="8" t="n"/>
      <c r="D122" s="9" t="n"/>
      <c r="E122" s="10" t="n"/>
      <c r="F122" s="11" t="n"/>
      <c r="G122" s="10">
        <f>E122*(1-F122)</f>
        <v/>
      </c>
      <c r="H122" s="10">
        <f>IF(D122="","",G122*D122)</f>
        <v/>
      </c>
      <c r="I122" s="12">
        <f>IF($B$5&gt;0,IF(D122="","",D122/$B$5),"")</f>
        <v/>
      </c>
      <c r="J122" s="8">
        <f>IF(D122="","",IF(AND(I122&gt;=$E$5,G122&gt;=$E$6),"Renner",IF(AND(I122&gt;=$E$5,G122&lt;$E$6),"Arbeitspferd",IF(AND(I122&lt;$E$5,G122&gt;=$E$6),"Schläfer","Penner"))))</f>
        <v/>
      </c>
    </row>
    <row r="123">
      <c r="A123" s="8" t="n"/>
      <c r="B123" s="8" t="n"/>
      <c r="C123" s="8" t="n"/>
      <c r="D123" s="9" t="n"/>
      <c r="E123" s="10" t="n"/>
      <c r="F123" s="11" t="n"/>
      <c r="G123" s="10">
        <f>E123*(1-F123)</f>
        <v/>
      </c>
      <c r="H123" s="10">
        <f>IF(D123="","",G123*D123)</f>
        <v/>
      </c>
      <c r="I123" s="12">
        <f>IF($B$5&gt;0,IF(D123="","",D123/$B$5),"")</f>
        <v/>
      </c>
      <c r="J123" s="8">
        <f>IF(D123="","",IF(AND(I123&gt;=$E$5,G123&gt;=$E$6),"Renner",IF(AND(I123&gt;=$E$5,G123&lt;$E$6),"Arbeitspferd",IF(AND(I123&lt;$E$5,G123&gt;=$E$6),"Schläfer","Penner"))))</f>
        <v/>
      </c>
    </row>
    <row r="124">
      <c r="A124" s="8" t="n"/>
      <c r="B124" s="8" t="n"/>
      <c r="C124" s="8" t="n"/>
      <c r="D124" s="9" t="n"/>
      <c r="E124" s="10" t="n"/>
      <c r="F124" s="11" t="n"/>
      <c r="G124" s="10">
        <f>E124*(1-F124)</f>
        <v/>
      </c>
      <c r="H124" s="10">
        <f>IF(D124="","",G124*D124)</f>
        <v/>
      </c>
      <c r="I124" s="12">
        <f>IF($B$5&gt;0,IF(D124="","",D124/$B$5),"")</f>
        <v/>
      </c>
      <c r="J124" s="8">
        <f>IF(D124="","",IF(AND(I124&gt;=$E$5,G124&gt;=$E$6),"Renner",IF(AND(I124&gt;=$E$5,G124&lt;$E$6),"Arbeitspferd",IF(AND(I124&lt;$E$5,G124&gt;=$E$6),"Schläfer","Penner"))))</f>
        <v/>
      </c>
    </row>
    <row r="125">
      <c r="A125" s="8" t="n"/>
      <c r="B125" s="8" t="n"/>
      <c r="C125" s="8" t="n"/>
      <c r="D125" s="9" t="n"/>
      <c r="E125" s="10" t="n"/>
      <c r="F125" s="11" t="n"/>
      <c r="G125" s="10">
        <f>E125*(1-F125)</f>
        <v/>
      </c>
      <c r="H125" s="10">
        <f>IF(D125="","",G125*D125)</f>
        <v/>
      </c>
      <c r="I125" s="12">
        <f>IF($B$5&gt;0,IF(D125="","",D125/$B$5),"")</f>
        <v/>
      </c>
      <c r="J125" s="8">
        <f>IF(D125="","",IF(AND(I125&gt;=$E$5,G125&gt;=$E$6),"Renner",IF(AND(I125&gt;=$E$5,G125&lt;$E$6),"Arbeitspferd",IF(AND(I125&lt;$E$5,G125&gt;=$E$6),"Schläfer","Penner"))))</f>
        <v/>
      </c>
    </row>
    <row r="126">
      <c r="A126" s="8" t="n"/>
      <c r="B126" s="8" t="n"/>
      <c r="C126" s="8" t="n"/>
      <c r="D126" s="9" t="n"/>
      <c r="E126" s="10" t="n"/>
      <c r="F126" s="11" t="n"/>
      <c r="G126" s="10">
        <f>E126*(1-F126)</f>
        <v/>
      </c>
      <c r="H126" s="10">
        <f>IF(D126="","",G126*D126)</f>
        <v/>
      </c>
      <c r="I126" s="12">
        <f>IF($B$5&gt;0,IF(D126="","",D126/$B$5),"")</f>
        <v/>
      </c>
      <c r="J126" s="8">
        <f>IF(D126="","",IF(AND(I126&gt;=$E$5,G126&gt;=$E$6),"Renner",IF(AND(I126&gt;=$E$5,G126&lt;$E$6),"Arbeitspferd",IF(AND(I126&lt;$E$5,G126&gt;=$E$6),"Schläfer","Penner"))))</f>
        <v/>
      </c>
    </row>
    <row r="127">
      <c r="A127" s="8" t="n"/>
      <c r="B127" s="8" t="n"/>
      <c r="C127" s="8" t="n"/>
      <c r="D127" s="9" t="n"/>
      <c r="E127" s="10" t="n"/>
      <c r="F127" s="11" t="n"/>
      <c r="G127" s="10">
        <f>E127*(1-F127)</f>
        <v/>
      </c>
      <c r="H127" s="10">
        <f>IF(D127="","",G127*D127)</f>
        <v/>
      </c>
      <c r="I127" s="12">
        <f>IF($B$5&gt;0,IF(D127="","",D127/$B$5),"")</f>
        <v/>
      </c>
      <c r="J127" s="8">
        <f>IF(D127="","",IF(AND(I127&gt;=$E$5,G127&gt;=$E$6),"Renner",IF(AND(I127&gt;=$E$5,G127&lt;$E$6),"Arbeitspferd",IF(AND(I127&lt;$E$5,G127&gt;=$E$6),"Schläfer","Penner"))))</f>
        <v/>
      </c>
    </row>
    <row r="128">
      <c r="A128" s="8" t="n"/>
      <c r="B128" s="8" t="n"/>
      <c r="C128" s="8" t="n"/>
      <c r="D128" s="9" t="n"/>
      <c r="E128" s="10" t="n"/>
      <c r="F128" s="11" t="n"/>
      <c r="G128" s="10">
        <f>E128*(1-F128)</f>
        <v/>
      </c>
      <c r="H128" s="10">
        <f>IF(D128="","",G128*D128)</f>
        <v/>
      </c>
      <c r="I128" s="12">
        <f>IF($B$5&gt;0,IF(D128="","",D128/$B$5),"")</f>
        <v/>
      </c>
      <c r="J128" s="8">
        <f>IF(D128="","",IF(AND(I128&gt;=$E$5,G128&gt;=$E$6),"Renner",IF(AND(I128&gt;=$E$5,G128&lt;$E$6),"Arbeitspferd",IF(AND(I128&lt;$E$5,G128&gt;=$E$6),"Schläfer","Penner"))))</f>
        <v/>
      </c>
    </row>
    <row r="129">
      <c r="A129" s="8" t="n"/>
      <c r="B129" s="8" t="n"/>
      <c r="C129" s="8" t="n"/>
      <c r="D129" s="9" t="n"/>
      <c r="E129" s="10" t="n"/>
      <c r="F129" s="11" t="n"/>
      <c r="G129" s="10">
        <f>E129*(1-F129)</f>
        <v/>
      </c>
      <c r="H129" s="10">
        <f>IF(D129="","",G129*D129)</f>
        <v/>
      </c>
      <c r="I129" s="12">
        <f>IF($B$5&gt;0,IF(D129="","",D129/$B$5),"")</f>
        <v/>
      </c>
      <c r="J129" s="8">
        <f>IF(D129="","",IF(AND(I129&gt;=$E$5,G129&gt;=$E$6),"Renner",IF(AND(I129&gt;=$E$5,G129&lt;$E$6),"Arbeitspferd",IF(AND(I129&lt;$E$5,G129&gt;=$E$6),"Schläfer","Penner"))))</f>
        <v/>
      </c>
    </row>
    <row r="130">
      <c r="A130" s="8" t="n"/>
      <c r="B130" s="8" t="n"/>
      <c r="C130" s="8" t="n"/>
      <c r="D130" s="9" t="n"/>
      <c r="E130" s="10" t="n"/>
      <c r="F130" s="11" t="n"/>
      <c r="G130" s="10">
        <f>E130*(1-F130)</f>
        <v/>
      </c>
      <c r="H130" s="10">
        <f>IF(D130="","",G130*D130)</f>
        <v/>
      </c>
      <c r="I130" s="12">
        <f>IF($B$5&gt;0,IF(D130="","",D130/$B$5),"")</f>
        <v/>
      </c>
      <c r="J130" s="8">
        <f>IF(D130="","",IF(AND(I130&gt;=$E$5,G130&gt;=$E$6),"Renner",IF(AND(I130&gt;=$E$5,G130&lt;$E$6),"Arbeitspferd",IF(AND(I130&lt;$E$5,G130&gt;=$E$6),"Schläfer","Penner"))))</f>
        <v/>
      </c>
    </row>
    <row r="131">
      <c r="A131" s="8" t="n"/>
      <c r="B131" s="8" t="n"/>
      <c r="C131" s="8" t="n"/>
      <c r="D131" s="9" t="n"/>
      <c r="E131" s="10" t="n"/>
      <c r="F131" s="11" t="n"/>
      <c r="G131" s="10">
        <f>E131*(1-F131)</f>
        <v/>
      </c>
      <c r="H131" s="10">
        <f>IF(D131="","",G131*D131)</f>
        <v/>
      </c>
      <c r="I131" s="12">
        <f>IF($B$5&gt;0,IF(D131="","",D131/$B$5),"")</f>
        <v/>
      </c>
      <c r="J131" s="8">
        <f>IF(D131="","",IF(AND(I131&gt;=$E$5,G131&gt;=$E$6),"Renner",IF(AND(I131&gt;=$E$5,G131&lt;$E$6),"Arbeitspferd",IF(AND(I131&lt;$E$5,G131&gt;=$E$6),"Schläfer","Penner"))))</f>
        <v/>
      </c>
    </row>
    <row r="132">
      <c r="A132" s="8" t="n"/>
      <c r="B132" s="8" t="n"/>
      <c r="C132" s="8" t="n"/>
      <c r="D132" s="9" t="n"/>
      <c r="E132" s="10" t="n"/>
      <c r="F132" s="11" t="n"/>
      <c r="G132" s="10">
        <f>E132*(1-F132)</f>
        <v/>
      </c>
      <c r="H132" s="10">
        <f>IF(D132="","",G132*D132)</f>
        <v/>
      </c>
      <c r="I132" s="12">
        <f>IF($B$5&gt;0,IF(D132="","",D132/$B$5),"")</f>
        <v/>
      </c>
      <c r="J132" s="8">
        <f>IF(D132="","",IF(AND(I132&gt;=$E$5,G132&gt;=$E$6),"Renner",IF(AND(I132&gt;=$E$5,G132&lt;$E$6),"Arbeitspferd",IF(AND(I132&lt;$E$5,G132&gt;=$E$6),"Schläfer","Penner"))))</f>
        <v/>
      </c>
    </row>
    <row r="133">
      <c r="A133" s="8" t="n"/>
      <c r="B133" s="8" t="n"/>
      <c r="C133" s="8" t="n"/>
      <c r="D133" s="9" t="n"/>
      <c r="E133" s="10" t="n"/>
      <c r="F133" s="11" t="n"/>
      <c r="G133" s="10">
        <f>E133*(1-F133)</f>
        <v/>
      </c>
      <c r="H133" s="10">
        <f>IF(D133="","",G133*D133)</f>
        <v/>
      </c>
      <c r="I133" s="12">
        <f>IF($B$5&gt;0,IF(D133="","",D133/$B$5),"")</f>
        <v/>
      </c>
      <c r="J133" s="8">
        <f>IF(D133="","",IF(AND(I133&gt;=$E$5,G133&gt;=$E$6),"Renner",IF(AND(I133&gt;=$E$5,G133&lt;$E$6),"Arbeitspferd",IF(AND(I133&lt;$E$5,G133&gt;=$E$6),"Schläfer","Penner"))))</f>
        <v/>
      </c>
    </row>
    <row r="136">
      <c r="A136" s="13" t="inlineStr">
        <is>
          <t>Legende:</t>
        </is>
      </c>
    </row>
    <row r="137">
      <c r="A137" s="14" t="inlineStr">
        <is>
          <t>Renner</t>
        </is>
      </c>
      <c r="B137" s="4" t="inlineStr">
        <is>
          <t>viel verkauft + gute Marge → behalten, prominent</t>
        </is>
      </c>
    </row>
    <row r="138">
      <c r="A138" s="15" t="inlineStr">
        <is>
          <t>Arbeitspferd</t>
        </is>
      </c>
      <c r="B138" s="4" t="inlineStr">
        <is>
          <t>viel verkauft + schwache Marge → Preis/Rezept schärfen</t>
        </is>
      </c>
    </row>
    <row r="139">
      <c r="A139" s="16" t="inlineStr">
        <is>
          <t>Schläfer</t>
        </is>
      </c>
      <c r="B139" s="4" t="inlineStr">
        <is>
          <t>wenig verkauft + gute Marge → besser platzieren/bewerben</t>
        </is>
      </c>
    </row>
    <row r="140">
      <c r="A140" s="17" t="inlineStr">
        <is>
          <t>Penner</t>
        </is>
      </c>
      <c r="B140" s="4" t="inlineStr">
        <is>
          <t>wenig verkauft + schwache Marge → streichen</t>
        </is>
      </c>
    </row>
  </sheetData>
  <conditionalFormatting sqref="J8:J133">
    <cfRule type="cellIs" priority="1" operator="equal" dxfId="0">
      <formula>"Renner"</formula>
    </cfRule>
    <cfRule type="cellIs" priority="2" operator="equal" dxfId="1">
      <formula>"Arbeitspferd"</formula>
    </cfRule>
    <cfRule type="cellIs" priority="3" operator="equal" dxfId="2">
      <formula>"Schläfer"</formula>
    </cfRule>
    <cfRule type="cellIs" priority="4" operator="equal" dxfId="3">
      <formula>"Penner"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2026-06-27T10:40:46Z</dcterms:created>
  <dcterms:modified xmlns:dcterms="http://purl.org/dc/terms/" xmlns:xsi="http://www.w3.org/2001/XMLSchema-instance" xsi:type="dcterms:W3CDTF">2026-07-11T08:23:58Z</dcterms:modified>
</cp:coreProperties>
</file>